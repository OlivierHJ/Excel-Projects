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jansen\Documents\"/>
    </mc:Choice>
  </mc:AlternateContent>
  <xr:revisionPtr revIDLastSave="0" documentId="10_ncr:100000_{F7023E1C-BC39-4650-AF91-00F96DE11BF8}" xr6:coauthVersionLast="31" xr6:coauthVersionMax="31" xr10:uidLastSave="{00000000-0000-0000-0000-000000000000}"/>
  <bookViews>
    <workbookView xWindow="0" yWindow="0" windowWidth="24270" windowHeight="11460" activeTab="2" xr2:uid="{CDAA7581-90E2-4BC8-BDDB-FFF1568881F7}"/>
  </bookViews>
  <sheets>
    <sheet name="Cards and locations" sheetId="1" r:id="rId1"/>
    <sheet name="Metrics" sheetId="2" r:id="rId2"/>
    <sheet name="Results" sheetId="3" r:id="rId3"/>
    <sheet name="Analysis" sheetId="6" r:id="rId4"/>
  </sheets>
  <functionGroups builtInGroupCount="19"/>
  <definedNames>
    <definedName name="Blue___Opt_in_hand">Metrics!$D$9</definedName>
    <definedName name="Blue_Sources_needed_in_opening_hand">Metrics!$D$13</definedName>
    <definedName name="Can_play_a_land_this_turn?">Metrics!$D$20</definedName>
    <definedName name="Cards_in_hand">Metrics!$D$5</definedName>
    <definedName name="Cards_left_in_deck">Metrics!$D$6</definedName>
    <definedName name="Cards_originally_in_deck">Metrics!$D$4</definedName>
    <definedName name="ExternalData_1" localSheetId="0" hidden="1">'Cards and locations'!$G$1:$J$2</definedName>
    <definedName name="ExternalData_2" localSheetId="0" hidden="1">'Cards and locations'!$N$1:$Q$60</definedName>
    <definedName name="ExternalData_3" localSheetId="0" hidden="1">'Cards and locations'!$T$1:$W$2</definedName>
    <definedName name="First_Opt_in_hand">Metrics!$D$27</definedName>
    <definedName name="First_Tapped_land_in_hand">Metrics!$D$25</definedName>
    <definedName name="First_Untapped_Land_in_the_hand">Metrics!$D$24</definedName>
    <definedName name="First_Untapped_Land_on_the_field">Metrics!$D$23</definedName>
    <definedName name="Has_Opt?">Metrics!$D$26</definedName>
    <definedName name="Has_Tapped_Blue">Metrics!$D$17</definedName>
    <definedName name="Has_Untapped_Blue">Metrics!$D$15</definedName>
    <definedName name="Has_Untapped_Blue_on_the_field?">Metrics!$D$11</definedName>
    <definedName name="Keepable_Opening_Hand?">Metrics!$D$14</definedName>
    <definedName name="Lands_on_the_field">Metrics!$D$7</definedName>
    <definedName name="Max_Tapped_Land_left">Metrics!$D$19</definedName>
    <definedName name="Number_of_blue___non_blue_lands_in_hand">Metrics!$D$30</definedName>
    <definedName name="Number_of_Lands_in_hand">Metrics!$D$29</definedName>
    <definedName name="Number_of_Opts_in_hand">Metrics!$D$28</definedName>
    <definedName name="Opt_Factor">Metrics!$D$10</definedName>
    <definedName name="Tapped_Blue_in_hand">Metrics!$D$18</definedName>
    <definedName name="Turn">Metrics!$D$8</definedName>
    <definedName name="Untapped_Blue_in_hand">Metrics!$D$16</definedName>
    <definedName name="Untapped_Blue_on_field">Metrics!$D$12</definedName>
    <definedName name="Untapped_Land?">Metrics!$D$22</definedName>
    <definedName name="Victory?">Metrics!$D$21</definedName>
  </definedNames>
  <calcPr calcId="179017"/>
  <pivotCaches>
    <pivotCache cacheId="19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" l="1"/>
  <c r="E11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D30" i="2"/>
  <c r="D29" i="2"/>
  <c r="D28" i="2"/>
  <c r="L8" i="3"/>
  <c r="L7" i="3"/>
  <c r="D27" i="2"/>
  <c r="D14" i="2" l="1"/>
  <c r="L9" i="3"/>
  <c r="D26" i="2"/>
  <c r="D17" i="2"/>
  <c r="D25" i="2" s="1"/>
  <c r="D22" i="2"/>
  <c r="D23" i="2" s="1"/>
  <c r="D15" i="2" l="1"/>
  <c r="D24" i="2" s="1"/>
  <c r="D7" i="2"/>
  <c r="D20" i="2" s="1"/>
  <c r="D19" i="2"/>
  <c r="D18" i="2"/>
  <c r="D16" i="2"/>
  <c r="D21" i="2" l="1"/>
  <c r="D12" i="2"/>
  <c r="D11" i="2" s="1"/>
  <c r="D6" i="2"/>
  <c r="D10" i="2" s="1"/>
  <c r="D9" i="2" s="1"/>
  <c r="D5" i="2"/>
  <c r="D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saveData="1">
    <dbPr connection="Provider=Microsoft.Mashup.OleDb.1;Data Source=$Workbook$;Location=Table1;Extended Properties=&quot;&quot;" command="SELECT * FROM [Table1]"/>
  </connection>
  <connection id="2" xr16:uid="{00000000-0015-0000-FFFF-FFFF01000000}" keepAlive="1" name="Query - Table1 (2)" description="Connection to the 'Table1 (2)' query in the workbook." type="5" refreshedVersion="6" saveData="1">
    <dbPr connection="Provider=Microsoft.Mashup.OleDb.1;Data Source=$Workbook$;Location=Table1 (2);Extended Properties=&quot;&quot;" command="SELECT * FROM [Table1 (2)]"/>
  </connection>
  <connection id="3" xr16:uid="{00000000-0015-0000-FFFF-FFFF02000000}" keepAlive="1" name="Query - Table1 (3)" description="Connection to the 'Table1 (3)' query in the workbook." type="5" refreshedVersion="6" saveData="1">
    <dbPr connection="Provider=Microsoft.Mashup.OleDb.1;Data Source=$Workbook$;Location=Table1 (3);Extended Properties=&quot;&quot;" command="SELECT * FROM [Table1 (3)]"/>
  </connection>
</connections>
</file>

<file path=xl/sharedStrings.xml><?xml version="1.0" encoding="utf-8"?>
<sst xmlns="http://schemas.openxmlformats.org/spreadsheetml/2006/main" count="426" uniqueCount="60">
  <si>
    <t>Blue</t>
  </si>
  <si>
    <t>Opt</t>
  </si>
  <si>
    <t>Other</t>
  </si>
  <si>
    <t>Number</t>
  </si>
  <si>
    <t>Type</t>
  </si>
  <si>
    <t>Location</t>
  </si>
  <si>
    <t>Deck</t>
  </si>
  <si>
    <t>Tapland?</t>
  </si>
  <si>
    <t>No</t>
  </si>
  <si>
    <t>Yes</t>
  </si>
  <si>
    <t>Status</t>
  </si>
  <si>
    <t>Cards in hand</t>
  </si>
  <si>
    <t>Cards originally in deck</t>
  </si>
  <si>
    <t>Cards left in deck</t>
  </si>
  <si>
    <t>Turn</t>
  </si>
  <si>
    <t>Blue + Opt in hand</t>
  </si>
  <si>
    <t>Opt Factor</t>
  </si>
  <si>
    <t>Blue Sources needed in opening hand</t>
  </si>
  <si>
    <t>Keepable Opening Hand?</t>
  </si>
  <si>
    <t>Hand</t>
  </si>
  <si>
    <t>Untapped Blue in hand</t>
  </si>
  <si>
    <t>Tapped Blue in hand</t>
  </si>
  <si>
    <t>Max Tapped Land left</t>
  </si>
  <si>
    <t>Lands on the field</t>
  </si>
  <si>
    <t>Can play a land this turn?</t>
  </si>
  <si>
    <t>Victory?</t>
  </si>
  <si>
    <t>Untapped Blue on field</t>
  </si>
  <si>
    <t>Untapped Land?</t>
  </si>
  <si>
    <t>First Untapped Land on the field</t>
  </si>
  <si>
    <t>Key ID</t>
  </si>
  <si>
    <t>First Untapped Land in the hand</t>
  </si>
  <si>
    <t>First Tapped land in hand</t>
  </si>
  <si>
    <t>Has Tapped Blue</t>
  </si>
  <si>
    <t>Has Opt?</t>
  </si>
  <si>
    <t>Has Untapped Blue in hand</t>
  </si>
  <si>
    <t>Has Untapped Blue on the field?</t>
  </si>
  <si>
    <t>First Opt in hand</t>
  </si>
  <si>
    <t>Play or draw?</t>
  </si>
  <si>
    <t>Opening hand size</t>
  </si>
  <si>
    <t>Success</t>
  </si>
  <si>
    <t>Fail</t>
  </si>
  <si>
    <t>%</t>
  </si>
  <si>
    <t>Row Labels</t>
  </si>
  <si>
    <t>FALSE</t>
  </si>
  <si>
    <t>TRUE</t>
  </si>
  <si>
    <t>Grand Total</t>
  </si>
  <si>
    <t>Count of Victory?</t>
  </si>
  <si>
    <t>Column Labels</t>
  </si>
  <si>
    <t>5 Total</t>
  </si>
  <si>
    <t>Number of Opts in hand</t>
  </si>
  <si>
    <t>Opening Hand Lands</t>
  </si>
  <si>
    <t>Opening Hand Opts</t>
  </si>
  <si>
    <t>Non-Blue Land</t>
  </si>
  <si>
    <t>Number of Blue Lands in hand</t>
  </si>
  <si>
    <t>Number of blue + non blue lands in hand</t>
  </si>
  <si>
    <t>Opening Hand Starting Blues</t>
  </si>
  <si>
    <t>1 Total</t>
  </si>
  <si>
    <t>2 Total</t>
  </si>
  <si>
    <t>3 Total</t>
  </si>
  <si>
    <t>4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</si>
</sst>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5" xfId="0" applyFill="1" applyBorder="1"/>
    <xf numFmtId="0" fontId="0" fillId="0" borderId="3" xfId="0" applyFill="1" applyBorder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sen, Olivier" refreshedDate="43627.610892476849" createdVersion="6" refreshedVersion="6" minRefreshableVersion="3" recordCount="163" xr:uid="{C571C202-E370-4C1E-B03D-95F4C71D624F}">
  <cacheSource type="worksheet">
    <worksheetSource name="Results"/>
  </cacheSource>
  <cacheFields count="6">
    <cacheField name="Play or draw?" numFmtId="0">
      <sharedItems/>
    </cacheField>
    <cacheField name="Opening hand size" numFmtId="0">
      <sharedItems containsSemiMixedTypes="0" containsString="0" containsNumber="1" containsInteger="1" minValue="5" maxValue="7" count="3">
        <n v="7"/>
        <n v="5"/>
        <n v="6"/>
      </sharedItems>
    </cacheField>
    <cacheField name="Victory?" numFmtId="0">
      <sharedItems count="2">
        <b v="1"/>
        <b v="0"/>
      </sharedItems>
    </cacheField>
    <cacheField name="Opening Hand Lands" numFmtId="0">
      <sharedItems containsSemiMixedTypes="0" containsString="0" containsNumber="1" containsInteger="1" minValue="1" maxValue="5" count="5">
        <n v="3"/>
        <n v="4"/>
        <n v="1"/>
        <n v="5"/>
        <n v="2"/>
      </sharedItems>
    </cacheField>
    <cacheField name="Opening Hand Opts" numFmtId="0">
      <sharedItems containsSemiMixedTypes="0" containsString="0" containsNumber="1" containsInteger="1" minValue="0" maxValue="2" count="3">
        <n v="2"/>
        <n v="0"/>
        <n v="1"/>
      </sharedItems>
    </cacheField>
    <cacheField name="Opening Hand Starting Blues" numFmtId="0">
      <sharedItems containsSemiMixedTypes="0" containsString="0" containsNumber="1" containsInteger="1" minValue="1" maxValue="5" count="5">
        <n v="3"/>
        <n v="4"/>
        <n v="2"/>
        <n v="1"/>
        <n v="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">
  <r>
    <b v="1"/>
    <x v="0"/>
    <x v="0"/>
    <x v="0"/>
    <x v="0"/>
    <x v="0"/>
  </r>
  <r>
    <b v="1"/>
    <x v="0"/>
    <x v="0"/>
    <x v="1"/>
    <x v="1"/>
    <x v="1"/>
  </r>
  <r>
    <b v="1"/>
    <x v="0"/>
    <x v="0"/>
    <x v="0"/>
    <x v="2"/>
    <x v="2"/>
  </r>
  <r>
    <b v="0"/>
    <x v="0"/>
    <x v="1"/>
    <x v="0"/>
    <x v="1"/>
    <x v="3"/>
  </r>
  <r>
    <b v="0"/>
    <x v="0"/>
    <x v="0"/>
    <x v="1"/>
    <x v="1"/>
    <x v="0"/>
  </r>
  <r>
    <b v="0"/>
    <x v="0"/>
    <x v="0"/>
    <x v="0"/>
    <x v="2"/>
    <x v="0"/>
  </r>
  <r>
    <b v="1"/>
    <x v="0"/>
    <x v="1"/>
    <x v="1"/>
    <x v="1"/>
    <x v="2"/>
  </r>
  <r>
    <b v="1"/>
    <x v="1"/>
    <x v="1"/>
    <x v="2"/>
    <x v="1"/>
    <x v="3"/>
  </r>
  <r>
    <b v="1"/>
    <x v="0"/>
    <x v="0"/>
    <x v="3"/>
    <x v="1"/>
    <x v="0"/>
  </r>
  <r>
    <b v="0"/>
    <x v="0"/>
    <x v="0"/>
    <x v="1"/>
    <x v="0"/>
    <x v="2"/>
  </r>
  <r>
    <b v="0"/>
    <x v="2"/>
    <x v="0"/>
    <x v="4"/>
    <x v="1"/>
    <x v="3"/>
  </r>
  <r>
    <b v="1"/>
    <x v="0"/>
    <x v="0"/>
    <x v="1"/>
    <x v="2"/>
    <x v="0"/>
  </r>
  <r>
    <b v="1"/>
    <x v="0"/>
    <x v="0"/>
    <x v="0"/>
    <x v="1"/>
    <x v="2"/>
  </r>
  <r>
    <b v="0"/>
    <x v="0"/>
    <x v="0"/>
    <x v="4"/>
    <x v="2"/>
    <x v="2"/>
  </r>
  <r>
    <b v="1"/>
    <x v="0"/>
    <x v="1"/>
    <x v="0"/>
    <x v="1"/>
    <x v="3"/>
  </r>
  <r>
    <b v="1"/>
    <x v="0"/>
    <x v="0"/>
    <x v="0"/>
    <x v="1"/>
    <x v="0"/>
  </r>
  <r>
    <b v="0"/>
    <x v="0"/>
    <x v="0"/>
    <x v="3"/>
    <x v="1"/>
    <x v="1"/>
  </r>
  <r>
    <b v="1"/>
    <x v="0"/>
    <x v="0"/>
    <x v="0"/>
    <x v="1"/>
    <x v="3"/>
  </r>
  <r>
    <b v="0"/>
    <x v="0"/>
    <x v="0"/>
    <x v="0"/>
    <x v="2"/>
    <x v="2"/>
  </r>
  <r>
    <b v="1"/>
    <x v="0"/>
    <x v="1"/>
    <x v="4"/>
    <x v="1"/>
    <x v="2"/>
  </r>
  <r>
    <b v="1"/>
    <x v="0"/>
    <x v="0"/>
    <x v="1"/>
    <x v="1"/>
    <x v="0"/>
  </r>
  <r>
    <b v="0"/>
    <x v="0"/>
    <x v="0"/>
    <x v="1"/>
    <x v="2"/>
    <x v="0"/>
  </r>
  <r>
    <b v="1"/>
    <x v="0"/>
    <x v="0"/>
    <x v="0"/>
    <x v="2"/>
    <x v="0"/>
  </r>
  <r>
    <b v="0"/>
    <x v="0"/>
    <x v="0"/>
    <x v="4"/>
    <x v="1"/>
    <x v="2"/>
  </r>
  <r>
    <b v="0"/>
    <x v="2"/>
    <x v="0"/>
    <x v="4"/>
    <x v="1"/>
    <x v="2"/>
  </r>
  <r>
    <b v="1"/>
    <x v="0"/>
    <x v="1"/>
    <x v="4"/>
    <x v="1"/>
    <x v="2"/>
  </r>
  <r>
    <b v="1"/>
    <x v="0"/>
    <x v="1"/>
    <x v="4"/>
    <x v="1"/>
    <x v="3"/>
  </r>
  <r>
    <b v="0"/>
    <x v="0"/>
    <x v="1"/>
    <x v="4"/>
    <x v="2"/>
    <x v="3"/>
  </r>
  <r>
    <b v="0"/>
    <x v="0"/>
    <x v="0"/>
    <x v="4"/>
    <x v="2"/>
    <x v="3"/>
  </r>
  <r>
    <b v="1"/>
    <x v="0"/>
    <x v="0"/>
    <x v="1"/>
    <x v="1"/>
    <x v="1"/>
  </r>
  <r>
    <b v="1"/>
    <x v="0"/>
    <x v="0"/>
    <x v="1"/>
    <x v="1"/>
    <x v="0"/>
  </r>
  <r>
    <b v="1"/>
    <x v="0"/>
    <x v="0"/>
    <x v="0"/>
    <x v="2"/>
    <x v="0"/>
  </r>
  <r>
    <b v="1"/>
    <x v="0"/>
    <x v="0"/>
    <x v="0"/>
    <x v="2"/>
    <x v="0"/>
  </r>
  <r>
    <b v="1"/>
    <x v="0"/>
    <x v="0"/>
    <x v="1"/>
    <x v="1"/>
    <x v="2"/>
  </r>
  <r>
    <b v="0"/>
    <x v="0"/>
    <x v="0"/>
    <x v="4"/>
    <x v="0"/>
    <x v="2"/>
  </r>
  <r>
    <b v="1"/>
    <x v="0"/>
    <x v="0"/>
    <x v="3"/>
    <x v="1"/>
    <x v="1"/>
  </r>
  <r>
    <b v="1"/>
    <x v="0"/>
    <x v="0"/>
    <x v="1"/>
    <x v="1"/>
    <x v="0"/>
  </r>
  <r>
    <b v="0"/>
    <x v="1"/>
    <x v="1"/>
    <x v="0"/>
    <x v="1"/>
    <x v="3"/>
  </r>
  <r>
    <b v="1"/>
    <x v="0"/>
    <x v="0"/>
    <x v="3"/>
    <x v="2"/>
    <x v="0"/>
  </r>
  <r>
    <b v="0"/>
    <x v="0"/>
    <x v="0"/>
    <x v="1"/>
    <x v="1"/>
    <x v="1"/>
  </r>
  <r>
    <b v="1"/>
    <x v="0"/>
    <x v="0"/>
    <x v="1"/>
    <x v="1"/>
    <x v="1"/>
  </r>
  <r>
    <b v="1"/>
    <x v="0"/>
    <x v="0"/>
    <x v="0"/>
    <x v="1"/>
    <x v="2"/>
  </r>
  <r>
    <b v="0"/>
    <x v="0"/>
    <x v="0"/>
    <x v="3"/>
    <x v="2"/>
    <x v="1"/>
  </r>
  <r>
    <b v="1"/>
    <x v="0"/>
    <x v="0"/>
    <x v="0"/>
    <x v="2"/>
    <x v="2"/>
  </r>
  <r>
    <b v="0"/>
    <x v="0"/>
    <x v="0"/>
    <x v="1"/>
    <x v="2"/>
    <x v="1"/>
  </r>
  <r>
    <b v="0"/>
    <x v="0"/>
    <x v="1"/>
    <x v="4"/>
    <x v="1"/>
    <x v="3"/>
  </r>
  <r>
    <b v="1"/>
    <x v="0"/>
    <x v="0"/>
    <x v="3"/>
    <x v="1"/>
    <x v="0"/>
  </r>
  <r>
    <b v="0"/>
    <x v="0"/>
    <x v="0"/>
    <x v="4"/>
    <x v="1"/>
    <x v="2"/>
  </r>
  <r>
    <b v="0"/>
    <x v="0"/>
    <x v="0"/>
    <x v="1"/>
    <x v="2"/>
    <x v="1"/>
  </r>
  <r>
    <b v="0"/>
    <x v="2"/>
    <x v="0"/>
    <x v="4"/>
    <x v="1"/>
    <x v="2"/>
  </r>
  <r>
    <b v="0"/>
    <x v="0"/>
    <x v="1"/>
    <x v="4"/>
    <x v="2"/>
    <x v="3"/>
  </r>
  <r>
    <b v="0"/>
    <x v="0"/>
    <x v="0"/>
    <x v="0"/>
    <x v="1"/>
    <x v="0"/>
  </r>
  <r>
    <b v="1"/>
    <x v="0"/>
    <x v="0"/>
    <x v="1"/>
    <x v="1"/>
    <x v="0"/>
  </r>
  <r>
    <b v="1"/>
    <x v="0"/>
    <x v="0"/>
    <x v="0"/>
    <x v="1"/>
    <x v="0"/>
  </r>
  <r>
    <b v="0"/>
    <x v="0"/>
    <x v="0"/>
    <x v="1"/>
    <x v="1"/>
    <x v="2"/>
  </r>
  <r>
    <b v="0"/>
    <x v="0"/>
    <x v="0"/>
    <x v="1"/>
    <x v="1"/>
    <x v="0"/>
  </r>
  <r>
    <b v="0"/>
    <x v="0"/>
    <x v="0"/>
    <x v="1"/>
    <x v="1"/>
    <x v="2"/>
  </r>
  <r>
    <b v="0"/>
    <x v="0"/>
    <x v="1"/>
    <x v="4"/>
    <x v="2"/>
    <x v="3"/>
  </r>
  <r>
    <b v="1"/>
    <x v="0"/>
    <x v="0"/>
    <x v="1"/>
    <x v="1"/>
    <x v="0"/>
  </r>
  <r>
    <b v="0"/>
    <x v="2"/>
    <x v="0"/>
    <x v="4"/>
    <x v="1"/>
    <x v="2"/>
  </r>
  <r>
    <b v="0"/>
    <x v="0"/>
    <x v="1"/>
    <x v="4"/>
    <x v="1"/>
    <x v="3"/>
  </r>
  <r>
    <b v="1"/>
    <x v="0"/>
    <x v="0"/>
    <x v="0"/>
    <x v="1"/>
    <x v="0"/>
  </r>
  <r>
    <b v="0"/>
    <x v="0"/>
    <x v="0"/>
    <x v="3"/>
    <x v="1"/>
    <x v="1"/>
  </r>
  <r>
    <b v="1"/>
    <x v="0"/>
    <x v="1"/>
    <x v="4"/>
    <x v="1"/>
    <x v="3"/>
  </r>
  <r>
    <b v="1"/>
    <x v="0"/>
    <x v="0"/>
    <x v="3"/>
    <x v="1"/>
    <x v="1"/>
  </r>
  <r>
    <b v="1"/>
    <x v="0"/>
    <x v="0"/>
    <x v="0"/>
    <x v="2"/>
    <x v="2"/>
  </r>
  <r>
    <b v="0"/>
    <x v="0"/>
    <x v="0"/>
    <x v="0"/>
    <x v="1"/>
    <x v="2"/>
  </r>
  <r>
    <b v="0"/>
    <x v="2"/>
    <x v="0"/>
    <x v="0"/>
    <x v="1"/>
    <x v="0"/>
  </r>
  <r>
    <b v="1"/>
    <x v="2"/>
    <x v="1"/>
    <x v="4"/>
    <x v="1"/>
    <x v="2"/>
  </r>
  <r>
    <b v="0"/>
    <x v="0"/>
    <x v="0"/>
    <x v="1"/>
    <x v="2"/>
    <x v="0"/>
  </r>
  <r>
    <b v="1"/>
    <x v="0"/>
    <x v="0"/>
    <x v="0"/>
    <x v="1"/>
    <x v="2"/>
  </r>
  <r>
    <b v="1"/>
    <x v="0"/>
    <x v="0"/>
    <x v="1"/>
    <x v="1"/>
    <x v="1"/>
  </r>
  <r>
    <b v="1"/>
    <x v="0"/>
    <x v="0"/>
    <x v="3"/>
    <x v="1"/>
    <x v="1"/>
  </r>
  <r>
    <b v="0"/>
    <x v="0"/>
    <x v="0"/>
    <x v="1"/>
    <x v="2"/>
    <x v="0"/>
  </r>
  <r>
    <b v="0"/>
    <x v="0"/>
    <x v="0"/>
    <x v="0"/>
    <x v="1"/>
    <x v="3"/>
  </r>
  <r>
    <b v="1"/>
    <x v="2"/>
    <x v="0"/>
    <x v="1"/>
    <x v="1"/>
    <x v="0"/>
  </r>
  <r>
    <b v="1"/>
    <x v="0"/>
    <x v="0"/>
    <x v="1"/>
    <x v="1"/>
    <x v="1"/>
  </r>
  <r>
    <b v="0"/>
    <x v="0"/>
    <x v="0"/>
    <x v="0"/>
    <x v="1"/>
    <x v="2"/>
  </r>
  <r>
    <b v="1"/>
    <x v="1"/>
    <x v="0"/>
    <x v="4"/>
    <x v="1"/>
    <x v="2"/>
  </r>
  <r>
    <b v="1"/>
    <x v="0"/>
    <x v="0"/>
    <x v="4"/>
    <x v="1"/>
    <x v="2"/>
  </r>
  <r>
    <b v="0"/>
    <x v="0"/>
    <x v="0"/>
    <x v="0"/>
    <x v="2"/>
    <x v="2"/>
  </r>
  <r>
    <b v="1"/>
    <x v="0"/>
    <x v="0"/>
    <x v="3"/>
    <x v="2"/>
    <x v="0"/>
  </r>
  <r>
    <b v="0"/>
    <x v="0"/>
    <x v="1"/>
    <x v="0"/>
    <x v="2"/>
    <x v="3"/>
  </r>
  <r>
    <b v="1"/>
    <x v="0"/>
    <x v="0"/>
    <x v="0"/>
    <x v="2"/>
    <x v="2"/>
  </r>
  <r>
    <b v="1"/>
    <x v="0"/>
    <x v="0"/>
    <x v="0"/>
    <x v="0"/>
    <x v="2"/>
  </r>
  <r>
    <b v="0"/>
    <x v="2"/>
    <x v="0"/>
    <x v="4"/>
    <x v="2"/>
    <x v="2"/>
  </r>
  <r>
    <b v="1"/>
    <x v="0"/>
    <x v="1"/>
    <x v="4"/>
    <x v="1"/>
    <x v="3"/>
  </r>
  <r>
    <b v="0"/>
    <x v="0"/>
    <x v="0"/>
    <x v="1"/>
    <x v="2"/>
    <x v="0"/>
  </r>
  <r>
    <b v="0"/>
    <x v="0"/>
    <x v="1"/>
    <x v="1"/>
    <x v="1"/>
    <x v="2"/>
  </r>
  <r>
    <b v="1"/>
    <x v="2"/>
    <x v="0"/>
    <x v="0"/>
    <x v="2"/>
    <x v="0"/>
  </r>
  <r>
    <b v="1"/>
    <x v="2"/>
    <x v="0"/>
    <x v="1"/>
    <x v="1"/>
    <x v="1"/>
  </r>
  <r>
    <b v="0"/>
    <x v="2"/>
    <x v="0"/>
    <x v="4"/>
    <x v="1"/>
    <x v="2"/>
  </r>
  <r>
    <b v="0"/>
    <x v="0"/>
    <x v="1"/>
    <x v="4"/>
    <x v="1"/>
    <x v="2"/>
  </r>
  <r>
    <b v="1"/>
    <x v="0"/>
    <x v="1"/>
    <x v="0"/>
    <x v="2"/>
    <x v="2"/>
  </r>
  <r>
    <b v="1"/>
    <x v="0"/>
    <x v="0"/>
    <x v="0"/>
    <x v="1"/>
    <x v="2"/>
  </r>
  <r>
    <b v="1"/>
    <x v="0"/>
    <x v="0"/>
    <x v="0"/>
    <x v="1"/>
    <x v="2"/>
  </r>
  <r>
    <b v="1"/>
    <x v="2"/>
    <x v="1"/>
    <x v="0"/>
    <x v="2"/>
    <x v="2"/>
  </r>
  <r>
    <b v="1"/>
    <x v="0"/>
    <x v="0"/>
    <x v="0"/>
    <x v="1"/>
    <x v="0"/>
  </r>
  <r>
    <b v="0"/>
    <x v="0"/>
    <x v="0"/>
    <x v="0"/>
    <x v="2"/>
    <x v="0"/>
  </r>
  <r>
    <b v="1"/>
    <x v="0"/>
    <x v="0"/>
    <x v="0"/>
    <x v="2"/>
    <x v="2"/>
  </r>
  <r>
    <b v="1"/>
    <x v="0"/>
    <x v="1"/>
    <x v="0"/>
    <x v="1"/>
    <x v="2"/>
  </r>
  <r>
    <b v="0"/>
    <x v="2"/>
    <x v="0"/>
    <x v="0"/>
    <x v="1"/>
    <x v="2"/>
  </r>
  <r>
    <b v="1"/>
    <x v="2"/>
    <x v="0"/>
    <x v="1"/>
    <x v="1"/>
    <x v="0"/>
  </r>
  <r>
    <b v="0"/>
    <x v="2"/>
    <x v="0"/>
    <x v="1"/>
    <x v="2"/>
    <x v="1"/>
  </r>
  <r>
    <b v="1"/>
    <x v="1"/>
    <x v="0"/>
    <x v="0"/>
    <x v="2"/>
    <x v="0"/>
  </r>
  <r>
    <b v="1"/>
    <x v="0"/>
    <x v="1"/>
    <x v="0"/>
    <x v="1"/>
    <x v="2"/>
  </r>
  <r>
    <b v="0"/>
    <x v="0"/>
    <x v="1"/>
    <x v="4"/>
    <x v="1"/>
    <x v="2"/>
  </r>
  <r>
    <b v="1"/>
    <x v="0"/>
    <x v="1"/>
    <x v="0"/>
    <x v="1"/>
    <x v="3"/>
  </r>
  <r>
    <b v="0"/>
    <x v="2"/>
    <x v="0"/>
    <x v="4"/>
    <x v="2"/>
    <x v="2"/>
  </r>
  <r>
    <b v="0"/>
    <x v="0"/>
    <x v="0"/>
    <x v="1"/>
    <x v="2"/>
    <x v="3"/>
  </r>
  <r>
    <b v="1"/>
    <x v="0"/>
    <x v="1"/>
    <x v="4"/>
    <x v="1"/>
    <x v="3"/>
  </r>
  <r>
    <b v="0"/>
    <x v="0"/>
    <x v="1"/>
    <x v="0"/>
    <x v="1"/>
    <x v="3"/>
  </r>
  <r>
    <b v="0"/>
    <x v="0"/>
    <x v="0"/>
    <x v="4"/>
    <x v="2"/>
    <x v="2"/>
  </r>
  <r>
    <b v="0"/>
    <x v="0"/>
    <x v="0"/>
    <x v="1"/>
    <x v="1"/>
    <x v="0"/>
  </r>
  <r>
    <b v="0"/>
    <x v="0"/>
    <x v="0"/>
    <x v="1"/>
    <x v="1"/>
    <x v="0"/>
  </r>
  <r>
    <b v="0"/>
    <x v="2"/>
    <x v="0"/>
    <x v="3"/>
    <x v="1"/>
    <x v="1"/>
  </r>
  <r>
    <b v="1"/>
    <x v="0"/>
    <x v="1"/>
    <x v="0"/>
    <x v="1"/>
    <x v="2"/>
  </r>
  <r>
    <b v="1"/>
    <x v="2"/>
    <x v="0"/>
    <x v="0"/>
    <x v="1"/>
    <x v="0"/>
  </r>
  <r>
    <b v="0"/>
    <x v="1"/>
    <x v="1"/>
    <x v="2"/>
    <x v="1"/>
    <x v="3"/>
  </r>
  <r>
    <b v="0"/>
    <x v="0"/>
    <x v="0"/>
    <x v="0"/>
    <x v="1"/>
    <x v="0"/>
  </r>
  <r>
    <b v="0"/>
    <x v="0"/>
    <x v="0"/>
    <x v="4"/>
    <x v="1"/>
    <x v="2"/>
  </r>
  <r>
    <b v="0"/>
    <x v="0"/>
    <x v="0"/>
    <x v="0"/>
    <x v="1"/>
    <x v="0"/>
  </r>
  <r>
    <b v="1"/>
    <x v="0"/>
    <x v="0"/>
    <x v="4"/>
    <x v="2"/>
    <x v="2"/>
  </r>
  <r>
    <b v="0"/>
    <x v="0"/>
    <x v="0"/>
    <x v="0"/>
    <x v="1"/>
    <x v="2"/>
  </r>
  <r>
    <b v="0"/>
    <x v="0"/>
    <x v="0"/>
    <x v="4"/>
    <x v="1"/>
    <x v="3"/>
  </r>
  <r>
    <b v="1"/>
    <x v="2"/>
    <x v="1"/>
    <x v="4"/>
    <x v="1"/>
    <x v="2"/>
  </r>
  <r>
    <b v="0"/>
    <x v="0"/>
    <x v="0"/>
    <x v="1"/>
    <x v="1"/>
    <x v="0"/>
  </r>
  <r>
    <b v="1"/>
    <x v="0"/>
    <x v="0"/>
    <x v="1"/>
    <x v="1"/>
    <x v="2"/>
  </r>
  <r>
    <b v="0"/>
    <x v="2"/>
    <x v="1"/>
    <x v="0"/>
    <x v="0"/>
    <x v="2"/>
  </r>
  <r>
    <b v="0"/>
    <x v="0"/>
    <x v="0"/>
    <x v="1"/>
    <x v="0"/>
    <x v="1"/>
  </r>
  <r>
    <b v="1"/>
    <x v="0"/>
    <x v="0"/>
    <x v="3"/>
    <x v="1"/>
    <x v="4"/>
  </r>
  <r>
    <b v="0"/>
    <x v="0"/>
    <x v="0"/>
    <x v="3"/>
    <x v="2"/>
    <x v="1"/>
  </r>
  <r>
    <b v="0"/>
    <x v="0"/>
    <x v="0"/>
    <x v="1"/>
    <x v="1"/>
    <x v="0"/>
  </r>
  <r>
    <b v="1"/>
    <x v="0"/>
    <x v="0"/>
    <x v="1"/>
    <x v="2"/>
    <x v="0"/>
  </r>
  <r>
    <b v="0"/>
    <x v="0"/>
    <x v="0"/>
    <x v="0"/>
    <x v="2"/>
    <x v="2"/>
  </r>
  <r>
    <b v="1"/>
    <x v="0"/>
    <x v="0"/>
    <x v="0"/>
    <x v="1"/>
    <x v="2"/>
  </r>
  <r>
    <b v="0"/>
    <x v="1"/>
    <x v="0"/>
    <x v="2"/>
    <x v="2"/>
    <x v="3"/>
  </r>
  <r>
    <b v="0"/>
    <x v="0"/>
    <x v="0"/>
    <x v="0"/>
    <x v="2"/>
    <x v="2"/>
  </r>
  <r>
    <b v="1"/>
    <x v="0"/>
    <x v="1"/>
    <x v="0"/>
    <x v="1"/>
    <x v="2"/>
  </r>
  <r>
    <b v="1"/>
    <x v="0"/>
    <x v="0"/>
    <x v="3"/>
    <x v="1"/>
    <x v="1"/>
  </r>
  <r>
    <b v="1"/>
    <x v="0"/>
    <x v="0"/>
    <x v="0"/>
    <x v="2"/>
    <x v="0"/>
  </r>
  <r>
    <b v="0"/>
    <x v="2"/>
    <x v="1"/>
    <x v="4"/>
    <x v="1"/>
    <x v="2"/>
  </r>
  <r>
    <b v="0"/>
    <x v="2"/>
    <x v="0"/>
    <x v="0"/>
    <x v="1"/>
    <x v="3"/>
  </r>
  <r>
    <b v="1"/>
    <x v="2"/>
    <x v="1"/>
    <x v="4"/>
    <x v="1"/>
    <x v="3"/>
  </r>
  <r>
    <b v="1"/>
    <x v="0"/>
    <x v="1"/>
    <x v="0"/>
    <x v="1"/>
    <x v="2"/>
  </r>
  <r>
    <b v="1"/>
    <x v="2"/>
    <x v="0"/>
    <x v="4"/>
    <x v="2"/>
    <x v="2"/>
  </r>
  <r>
    <b v="1"/>
    <x v="0"/>
    <x v="1"/>
    <x v="1"/>
    <x v="1"/>
    <x v="3"/>
  </r>
  <r>
    <b v="0"/>
    <x v="0"/>
    <x v="1"/>
    <x v="4"/>
    <x v="1"/>
    <x v="3"/>
  </r>
  <r>
    <b v="1"/>
    <x v="0"/>
    <x v="0"/>
    <x v="4"/>
    <x v="2"/>
    <x v="3"/>
  </r>
  <r>
    <b v="1"/>
    <x v="0"/>
    <x v="1"/>
    <x v="4"/>
    <x v="2"/>
    <x v="3"/>
  </r>
  <r>
    <b v="0"/>
    <x v="0"/>
    <x v="1"/>
    <x v="4"/>
    <x v="1"/>
    <x v="3"/>
  </r>
  <r>
    <b v="1"/>
    <x v="1"/>
    <x v="1"/>
    <x v="4"/>
    <x v="1"/>
    <x v="3"/>
  </r>
  <r>
    <b v="1"/>
    <x v="2"/>
    <x v="0"/>
    <x v="1"/>
    <x v="1"/>
    <x v="1"/>
  </r>
  <r>
    <b v="1"/>
    <x v="0"/>
    <x v="0"/>
    <x v="0"/>
    <x v="1"/>
    <x v="0"/>
  </r>
  <r>
    <b v="0"/>
    <x v="0"/>
    <x v="1"/>
    <x v="0"/>
    <x v="1"/>
    <x v="2"/>
  </r>
  <r>
    <b v="0"/>
    <x v="2"/>
    <x v="0"/>
    <x v="1"/>
    <x v="2"/>
    <x v="0"/>
  </r>
  <r>
    <b v="0"/>
    <x v="0"/>
    <x v="0"/>
    <x v="1"/>
    <x v="1"/>
    <x v="0"/>
  </r>
  <r>
    <b v="0"/>
    <x v="2"/>
    <x v="1"/>
    <x v="0"/>
    <x v="1"/>
    <x v="2"/>
  </r>
  <r>
    <b v="0"/>
    <x v="0"/>
    <x v="1"/>
    <x v="0"/>
    <x v="1"/>
    <x v="3"/>
  </r>
  <r>
    <b v="0"/>
    <x v="2"/>
    <x v="0"/>
    <x v="0"/>
    <x v="1"/>
    <x v="2"/>
  </r>
  <r>
    <b v="1"/>
    <x v="2"/>
    <x v="0"/>
    <x v="1"/>
    <x v="1"/>
    <x v="1"/>
  </r>
  <r>
    <b v="0"/>
    <x v="0"/>
    <x v="0"/>
    <x v="3"/>
    <x v="1"/>
    <x v="0"/>
  </r>
  <r>
    <b v="0"/>
    <x v="2"/>
    <x v="0"/>
    <x v="4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7D0BCD-FACB-485E-B5C2-4EC2283F56D0}" name="PivotTable4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S8" firstHeaderRow="1" firstDataRow="3" firstDataCol="1"/>
  <pivotFields count="6">
    <pivotField showAll="0"/>
    <pivotField showAll="0">
      <items count="4">
        <item x="1"/>
        <item x="2"/>
        <item x="0"/>
        <item t="default"/>
      </items>
    </pivotField>
    <pivotField axis="axisRow" dataField="1" showAll="0">
      <items count="3">
        <item x="1"/>
        <item x="0"/>
        <item t="default"/>
      </items>
    </pivotField>
    <pivotField showAll="0">
      <items count="6">
        <item x="2"/>
        <item x="4"/>
        <item x="0"/>
        <item x="1"/>
        <item x="3"/>
        <item t="default"/>
      </items>
    </pivotField>
    <pivotField axis="axisCol" showAll="0">
      <items count="4">
        <item x="1"/>
        <item x="2"/>
        <item x="0"/>
        <item t="default"/>
      </items>
    </pivotField>
    <pivotField axis="axisCol" showAll="0">
      <items count="6">
        <item x="3"/>
        <item x="2"/>
        <item x="0"/>
        <item x="1"/>
        <item x="4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Fields count="2">
    <field x="5"/>
    <field x="4"/>
  </colFields>
  <colItems count="18">
    <i>
      <x/>
      <x/>
    </i>
    <i r="1">
      <x v="1"/>
    </i>
    <i t="default">
      <x/>
    </i>
    <i>
      <x v="1"/>
      <x/>
    </i>
    <i r="1">
      <x v="1"/>
    </i>
    <i r="1">
      <x v="2"/>
    </i>
    <i t="default">
      <x v="1"/>
    </i>
    <i>
      <x v="2"/>
      <x/>
    </i>
    <i r="1">
      <x v="1"/>
    </i>
    <i r="1">
      <x v="2"/>
    </i>
    <i t="default">
      <x v="2"/>
    </i>
    <i>
      <x v="3"/>
      <x/>
    </i>
    <i r="1">
      <x v="1"/>
    </i>
    <i r="1">
      <x v="2"/>
    </i>
    <i t="default">
      <x v="3"/>
    </i>
    <i>
      <x v="4"/>
      <x/>
    </i>
    <i t="default">
      <x v="4"/>
    </i>
    <i t="grand">
      <x/>
    </i>
  </colItems>
  <dataFields count="1">
    <dataField name="Count of Victory?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000-000000000000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Number" tableColumnId="1"/>
      <queryTableField id="2" name="Type" tableColumnId="2"/>
      <queryTableField id="3" name="Tapland?" tableColumnId="3"/>
      <queryTableField id="4" name="Location" tableColumnId="4"/>
      <queryTableField id="5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00000000-0016-0000-0000-000001000000}" autoFormatId="16" applyNumberFormats="0" applyBorderFormats="0" applyFontFormats="0" applyPatternFormats="0" applyAlignmentFormats="0" applyWidthHeightFormats="0">
  <queryTableRefresh nextId="5">
    <queryTableFields count="4">
      <queryTableField id="1" name="Number" tableColumnId="1"/>
      <queryTableField id="2" name="Type" tableColumnId="2"/>
      <queryTableField id="3" name="Tapland?" tableColumnId="3"/>
      <queryTableField id="4" name="Location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00000000-0016-0000-0000-000002000000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Number" tableColumnId="1"/>
      <queryTableField id="2" name="Type" tableColumnId="2"/>
      <queryTableField id="3" name="Tapland?" tableColumnId="3"/>
      <queryTableField id="4" name="Location" tableColumnId="4"/>
      <queryTableField id="5" dataBound="0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C53E42-FDBB-4C27-8ECE-8CB2417B7C99}" name="Master" displayName="Master" ref="A1:D61" totalsRowShown="0">
  <autoFilter ref="A1:D61" xr:uid="{F09ABFC7-6D0F-4850-8E2F-CC7D0E2EAA63}"/>
  <tableColumns count="4">
    <tableColumn id="1" xr3:uid="{3D6E0F46-481A-4B9C-89D6-C4FF1CC0560F}" name="Number"/>
    <tableColumn id="2" xr3:uid="{F5B2FC41-EF38-4F85-89DB-A811CB52F92C}" name="Type"/>
    <tableColumn id="6" xr3:uid="{44FC8FB5-9D25-4C85-BCE5-42752E461E96}" name="Tapland?"/>
    <tableColumn id="3" xr3:uid="{13610B24-1AD2-4469-A771-E8940008E289}" name="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57EFE4-CE1B-4376-9748-8D6D8C943994}" name="Hand" displayName="Hand" ref="G1:K2" tableType="queryTable" totalsRowShown="0">
  <autoFilter ref="G1:K2" xr:uid="{7077E6E3-DD5A-4E3A-9B72-79BB3CC7276E}"/>
  <tableColumns count="5">
    <tableColumn id="1" xr3:uid="{A3E2852C-DAFB-4BAA-B16C-EA8B4C8F206E}" uniqueName="1" name="Number" queryTableFieldId="1"/>
    <tableColumn id="2" xr3:uid="{B0999CB4-C00D-4927-B084-92CBB44BEB6D}" uniqueName="2" name="Type" queryTableFieldId="2"/>
    <tableColumn id="3" xr3:uid="{5CC8BE4F-168A-480F-868C-F317E8C74C69}" uniqueName="3" name="Tapland?" queryTableFieldId="3"/>
    <tableColumn id="4" xr3:uid="{E8AEBCBD-11E2-45CA-AD14-DA5CE02D9912}" uniqueName="4" name="Location" queryTableFieldId="4"/>
    <tableColumn id="5" xr3:uid="{E47DBC02-9A4E-4D8B-A353-5BA0BD2C9798}" uniqueName="5" name="Key ID" queryTableFieldId="5">
      <calculatedColumnFormula>Hand[Type]&amp;Hand[Tapland?]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C9E122-0C14-4274-9479-B11565165F73}" name="Deck" displayName="Deck" ref="N1:Q60" tableType="queryTable" totalsRowShown="0">
  <autoFilter ref="N1:Q60" xr:uid="{D68BA6BC-267F-4902-90CA-9F40694456B4}"/>
  <tableColumns count="4">
    <tableColumn id="1" xr3:uid="{57EDB934-C19C-4639-BAE0-8373A2D412AC}" uniqueName="1" name="Number" queryTableFieldId="1"/>
    <tableColumn id="2" xr3:uid="{ED507A91-D75F-4BC8-8858-FE653ADAE207}" uniqueName="2" name="Type" queryTableFieldId="2"/>
    <tableColumn id="3" xr3:uid="{18E17D20-49B7-49A3-98AA-4FDEF6037EC7}" uniqueName="3" name="Tapland?" queryTableFieldId="3"/>
    <tableColumn id="4" xr3:uid="{8991C17D-2E6E-4DA1-819C-5AF8D4A834A3}" uniqueName="4" name="Location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43230CA-0B5D-49D2-B14E-4B94753D9DCA}" name="Field" displayName="Field" ref="T1:X2" tableType="queryTable" insertRow="1" totalsRowShown="0">
  <autoFilter ref="T1:X2" xr:uid="{19951192-D5F2-4064-919F-94BA86F8B893}"/>
  <tableColumns count="5">
    <tableColumn id="1" xr3:uid="{B76D8176-25D0-44F4-A2D2-7CD537B0223B}" uniqueName="1" name="Number" queryTableFieldId="1"/>
    <tableColumn id="2" xr3:uid="{6714FBC7-2418-4C12-AE14-716201097881}" uniqueName="2" name="Type" queryTableFieldId="2"/>
    <tableColumn id="3" xr3:uid="{116D9103-71C8-47B3-A08E-A3DF2A6A929C}" uniqueName="3" name="Tapland?" queryTableFieldId="3"/>
    <tableColumn id="4" xr3:uid="{68DD831B-2A10-4473-A143-C5DF4136944E}" uniqueName="4" name="Location" queryTableFieldId="4"/>
    <tableColumn id="5" xr3:uid="{D0CB21B2-9BB3-423B-A075-10E4BF6BB851}" uniqueName="5" name="Status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7E96D8-837F-4E36-BEB9-2C15A5CEB347}" name="Results" displayName="Results" ref="D7:I175" totalsRowShown="0">
  <autoFilter ref="D7:I175" xr:uid="{7F178044-B5AF-43BE-B5C3-A0D7E9080582}"/>
  <tableColumns count="6">
    <tableColumn id="2" xr3:uid="{86AC23D6-0CD5-48EB-A0EE-41BB8612353D}" name="Play or draw?"/>
    <tableColumn id="3" xr3:uid="{51F5B58F-01DA-4A9B-B934-66D68F52F6F2}" name="Opening hand size"/>
    <tableColumn id="4" xr3:uid="{5B91940A-D2D3-45C1-A968-4E22AE6FAFD2}" name="Victory?"/>
    <tableColumn id="6" xr3:uid="{02766E8D-1217-46BB-A610-994912279611}" name="Opening Hand Lands"/>
    <tableColumn id="7" xr3:uid="{65B014BF-D3C3-4399-B6F0-598F35E4C535}" name="Opening Hand Opts"/>
    <tableColumn id="8" xr3:uid="{D90EC6B0-9C99-4E6E-A96C-EE42BF70E3D2}" name="Opening Hand Starting Blu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C3D0-4709-4E6A-92C1-058A12C13D0C}">
  <sheetPr codeName="shCards"/>
  <dimension ref="A1:X61"/>
  <sheetViews>
    <sheetView showGridLines="0" workbookViewId="0">
      <selection activeCell="B24" sqref="B24"/>
    </sheetView>
  </sheetViews>
  <sheetFormatPr defaultRowHeight="15" x14ac:dyDescent="0.25"/>
  <cols>
    <col min="1" max="1" width="10.42578125" customWidth="1"/>
    <col min="2" max="2" width="10.5703125" bestFit="1" customWidth="1"/>
    <col min="3" max="4" width="10.5703125" customWidth="1"/>
    <col min="7" max="7" width="10.5703125" bestFit="1" customWidth="1"/>
    <col min="8" max="8" width="7.5703125" bestFit="1" customWidth="1"/>
    <col min="9" max="9" width="11.28515625" bestFit="1" customWidth="1"/>
    <col min="10" max="10" width="10.7109375" bestFit="1" customWidth="1"/>
    <col min="11" max="11" width="8.85546875" bestFit="1" customWidth="1"/>
    <col min="12" max="12" width="10.7109375" customWidth="1"/>
    <col min="14" max="14" width="10.5703125" bestFit="1" customWidth="1"/>
    <col min="15" max="15" width="14.28515625" bestFit="1" customWidth="1"/>
    <col min="16" max="16" width="11.28515625" bestFit="1" customWidth="1"/>
    <col min="17" max="17" width="10.7109375" bestFit="1" customWidth="1"/>
    <col min="20" max="20" width="10.5703125" bestFit="1" customWidth="1"/>
    <col min="21" max="21" width="7.5703125" bestFit="1" customWidth="1"/>
    <col min="22" max="22" width="11.28515625" bestFit="1" customWidth="1"/>
    <col min="23" max="23" width="10.7109375" bestFit="1" customWidth="1"/>
    <col min="24" max="24" width="8.7109375" bestFit="1" customWidth="1"/>
  </cols>
  <sheetData>
    <row r="1" spans="1:24" x14ac:dyDescent="0.25">
      <c r="A1" t="s">
        <v>3</v>
      </c>
      <c r="B1" t="s">
        <v>4</v>
      </c>
      <c r="C1" t="s">
        <v>7</v>
      </c>
      <c r="D1" t="s">
        <v>5</v>
      </c>
      <c r="G1" t="s">
        <v>3</v>
      </c>
      <c r="H1" t="s">
        <v>4</v>
      </c>
      <c r="I1" t="s">
        <v>7</v>
      </c>
      <c r="J1" t="s">
        <v>5</v>
      </c>
      <c r="K1" t="s">
        <v>29</v>
      </c>
      <c r="N1" t="s">
        <v>3</v>
      </c>
      <c r="O1" t="s">
        <v>4</v>
      </c>
      <c r="P1" t="s">
        <v>7</v>
      </c>
      <c r="Q1" t="s">
        <v>5</v>
      </c>
      <c r="T1" t="s">
        <v>3</v>
      </c>
      <c r="U1" t="s">
        <v>4</v>
      </c>
      <c r="V1" t="s">
        <v>7</v>
      </c>
      <c r="W1" t="s">
        <v>5</v>
      </c>
      <c r="X1" t="s">
        <v>10</v>
      </c>
    </row>
    <row r="2" spans="1:24" x14ac:dyDescent="0.25">
      <c r="A2">
        <v>1</v>
      </c>
      <c r="B2" t="s">
        <v>0</v>
      </c>
      <c r="C2" t="s">
        <v>8</v>
      </c>
      <c r="D2" t="s">
        <v>6</v>
      </c>
      <c r="G2">
        <v>7</v>
      </c>
      <c r="H2" t="s">
        <v>0</v>
      </c>
      <c r="I2" t="s">
        <v>8</v>
      </c>
      <c r="J2" t="s">
        <v>19</v>
      </c>
      <c r="K2" t="str">
        <f>Hand[Type]&amp;Hand[Tapland?]</f>
        <v>BlueNo</v>
      </c>
      <c r="N2">
        <v>1</v>
      </c>
      <c r="O2" t="s">
        <v>0</v>
      </c>
      <c r="P2" t="s">
        <v>8</v>
      </c>
      <c r="Q2" t="s">
        <v>6</v>
      </c>
    </row>
    <row r="3" spans="1:24" x14ac:dyDescent="0.25">
      <c r="A3">
        <v>2</v>
      </c>
      <c r="B3" t="s">
        <v>0</v>
      </c>
      <c r="C3" t="s">
        <v>8</v>
      </c>
      <c r="D3" t="s">
        <v>6</v>
      </c>
      <c r="N3">
        <v>2</v>
      </c>
      <c r="O3" t="s">
        <v>0</v>
      </c>
      <c r="P3" t="s">
        <v>8</v>
      </c>
      <c r="Q3" t="s">
        <v>6</v>
      </c>
    </row>
    <row r="4" spans="1:24" x14ac:dyDescent="0.25">
      <c r="A4">
        <v>3</v>
      </c>
      <c r="B4" t="s">
        <v>0</v>
      </c>
      <c r="C4" t="s">
        <v>8</v>
      </c>
      <c r="D4" t="s">
        <v>6</v>
      </c>
      <c r="N4">
        <v>3</v>
      </c>
      <c r="O4" t="s">
        <v>0</v>
      </c>
      <c r="P4" t="s">
        <v>8</v>
      </c>
      <c r="Q4" t="s">
        <v>6</v>
      </c>
    </row>
    <row r="5" spans="1:24" x14ac:dyDescent="0.25">
      <c r="A5">
        <v>4</v>
      </c>
      <c r="B5" t="s">
        <v>0</v>
      </c>
      <c r="C5" t="s">
        <v>8</v>
      </c>
      <c r="D5" t="s">
        <v>6</v>
      </c>
      <c r="N5">
        <v>4</v>
      </c>
      <c r="O5" t="s">
        <v>0</v>
      </c>
      <c r="P5" t="s">
        <v>8</v>
      </c>
      <c r="Q5" t="s">
        <v>6</v>
      </c>
    </row>
    <row r="6" spans="1:24" x14ac:dyDescent="0.25">
      <c r="A6">
        <v>5</v>
      </c>
      <c r="B6" t="s">
        <v>0</v>
      </c>
      <c r="C6" t="s">
        <v>8</v>
      </c>
      <c r="D6" t="s">
        <v>6</v>
      </c>
      <c r="N6">
        <v>5</v>
      </c>
      <c r="O6" t="s">
        <v>0</v>
      </c>
      <c r="P6" t="s">
        <v>8</v>
      </c>
      <c r="Q6" t="s">
        <v>6</v>
      </c>
    </row>
    <row r="7" spans="1:24" x14ac:dyDescent="0.25">
      <c r="A7">
        <v>6</v>
      </c>
      <c r="B7" t="s">
        <v>0</v>
      </c>
      <c r="C7" t="s">
        <v>8</v>
      </c>
      <c r="D7" t="s">
        <v>6</v>
      </c>
      <c r="N7">
        <v>6</v>
      </c>
      <c r="O7" t="s">
        <v>0</v>
      </c>
      <c r="P7" t="s">
        <v>8</v>
      </c>
      <c r="Q7" t="s">
        <v>6</v>
      </c>
    </row>
    <row r="8" spans="1:24" x14ac:dyDescent="0.25">
      <c r="A8">
        <v>7</v>
      </c>
      <c r="B8" t="s">
        <v>0</v>
      </c>
      <c r="C8" t="s">
        <v>8</v>
      </c>
      <c r="D8" t="s">
        <v>19</v>
      </c>
      <c r="N8">
        <v>8</v>
      </c>
      <c r="O8" t="s">
        <v>0</v>
      </c>
      <c r="P8" t="s">
        <v>8</v>
      </c>
      <c r="Q8" t="s">
        <v>6</v>
      </c>
    </row>
    <row r="9" spans="1:24" x14ac:dyDescent="0.25">
      <c r="A9">
        <v>8</v>
      </c>
      <c r="B9" t="s">
        <v>0</v>
      </c>
      <c r="C9" t="s">
        <v>8</v>
      </c>
      <c r="D9" t="s">
        <v>6</v>
      </c>
      <c r="N9">
        <v>9</v>
      </c>
      <c r="O9" t="s">
        <v>0</v>
      </c>
      <c r="P9" t="s">
        <v>8</v>
      </c>
      <c r="Q9" t="s">
        <v>6</v>
      </c>
    </row>
    <row r="10" spans="1:24" x14ac:dyDescent="0.25">
      <c r="A10">
        <v>9</v>
      </c>
      <c r="B10" t="s">
        <v>0</v>
      </c>
      <c r="C10" t="s">
        <v>8</v>
      </c>
      <c r="D10" t="s">
        <v>6</v>
      </c>
      <c r="N10">
        <v>10</v>
      </c>
      <c r="O10" t="s">
        <v>0</v>
      </c>
      <c r="P10" t="s">
        <v>8</v>
      </c>
      <c r="Q10" t="s">
        <v>6</v>
      </c>
    </row>
    <row r="11" spans="1:24" x14ac:dyDescent="0.25">
      <c r="A11">
        <v>10</v>
      </c>
      <c r="B11" t="s">
        <v>0</v>
      </c>
      <c r="C11" t="s">
        <v>8</v>
      </c>
      <c r="D11" t="s">
        <v>6</v>
      </c>
      <c r="N11">
        <v>11</v>
      </c>
      <c r="O11" t="s">
        <v>0</v>
      </c>
      <c r="P11" t="s">
        <v>8</v>
      </c>
      <c r="Q11" t="s">
        <v>6</v>
      </c>
    </row>
    <row r="12" spans="1:24" x14ac:dyDescent="0.25">
      <c r="A12">
        <v>11</v>
      </c>
      <c r="B12" t="s">
        <v>0</v>
      </c>
      <c r="C12" t="s">
        <v>8</v>
      </c>
      <c r="D12" t="s">
        <v>6</v>
      </c>
      <c r="N12">
        <v>12</v>
      </c>
      <c r="O12" t="s">
        <v>0</v>
      </c>
      <c r="P12" t="s">
        <v>8</v>
      </c>
      <c r="Q12" t="s">
        <v>6</v>
      </c>
    </row>
    <row r="13" spans="1:24" x14ac:dyDescent="0.25">
      <c r="A13">
        <v>12</v>
      </c>
      <c r="B13" t="s">
        <v>0</v>
      </c>
      <c r="C13" t="s">
        <v>8</v>
      </c>
      <c r="D13" t="s">
        <v>6</v>
      </c>
      <c r="N13">
        <v>13</v>
      </c>
      <c r="O13" t="s">
        <v>0</v>
      </c>
      <c r="P13" t="s">
        <v>8</v>
      </c>
      <c r="Q13" t="s">
        <v>6</v>
      </c>
    </row>
    <row r="14" spans="1:24" x14ac:dyDescent="0.25">
      <c r="A14">
        <v>13</v>
      </c>
      <c r="B14" t="s">
        <v>0</v>
      </c>
      <c r="C14" t="s">
        <v>8</v>
      </c>
      <c r="D14" t="s">
        <v>6</v>
      </c>
      <c r="N14">
        <v>14</v>
      </c>
      <c r="O14" t="s">
        <v>0</v>
      </c>
      <c r="P14" t="s">
        <v>8</v>
      </c>
      <c r="Q14" t="s">
        <v>6</v>
      </c>
    </row>
    <row r="15" spans="1:24" x14ac:dyDescent="0.25">
      <c r="A15">
        <v>14</v>
      </c>
      <c r="B15" t="s">
        <v>0</v>
      </c>
      <c r="C15" t="s">
        <v>8</v>
      </c>
      <c r="D15" t="s">
        <v>6</v>
      </c>
      <c r="N15">
        <v>15</v>
      </c>
      <c r="O15" t="s">
        <v>0</v>
      </c>
      <c r="P15" t="s">
        <v>8</v>
      </c>
      <c r="Q15" t="s">
        <v>6</v>
      </c>
    </row>
    <row r="16" spans="1:24" x14ac:dyDescent="0.25">
      <c r="A16">
        <v>15</v>
      </c>
      <c r="B16" t="s">
        <v>0</v>
      </c>
      <c r="C16" t="s">
        <v>8</v>
      </c>
      <c r="D16" t="s">
        <v>6</v>
      </c>
      <c r="N16">
        <v>16</v>
      </c>
      <c r="O16" t="s">
        <v>0</v>
      </c>
      <c r="P16" t="s">
        <v>9</v>
      </c>
      <c r="Q16" t="s">
        <v>6</v>
      </c>
    </row>
    <row r="17" spans="1:17" x14ac:dyDescent="0.25">
      <c r="A17">
        <v>16</v>
      </c>
      <c r="B17" t="s">
        <v>0</v>
      </c>
      <c r="C17" t="s">
        <v>9</v>
      </c>
      <c r="D17" t="s">
        <v>6</v>
      </c>
      <c r="N17">
        <v>17</v>
      </c>
      <c r="O17" t="s">
        <v>0</v>
      </c>
      <c r="P17" t="s">
        <v>9</v>
      </c>
      <c r="Q17" t="s">
        <v>6</v>
      </c>
    </row>
    <row r="18" spans="1:17" x14ac:dyDescent="0.25">
      <c r="A18">
        <v>17</v>
      </c>
      <c r="B18" t="s">
        <v>0</v>
      </c>
      <c r="C18" t="s">
        <v>9</v>
      </c>
      <c r="D18" t="s">
        <v>6</v>
      </c>
      <c r="N18">
        <v>18</v>
      </c>
      <c r="O18" t="s">
        <v>0</v>
      </c>
      <c r="P18" t="s">
        <v>9</v>
      </c>
      <c r="Q18" t="s">
        <v>6</v>
      </c>
    </row>
    <row r="19" spans="1:17" x14ac:dyDescent="0.25">
      <c r="A19">
        <v>18</v>
      </c>
      <c r="B19" t="s">
        <v>0</v>
      </c>
      <c r="C19" t="s">
        <v>9</v>
      </c>
      <c r="D19" t="s">
        <v>6</v>
      </c>
      <c r="N19">
        <v>19</v>
      </c>
      <c r="O19" t="s">
        <v>0</v>
      </c>
      <c r="P19" t="s">
        <v>9</v>
      </c>
      <c r="Q19" t="s">
        <v>6</v>
      </c>
    </row>
    <row r="20" spans="1:17" x14ac:dyDescent="0.25">
      <c r="A20">
        <v>19</v>
      </c>
      <c r="B20" t="s">
        <v>0</v>
      </c>
      <c r="C20" t="s">
        <v>9</v>
      </c>
      <c r="D20" t="s">
        <v>6</v>
      </c>
      <c r="N20">
        <v>20</v>
      </c>
      <c r="O20" t="s">
        <v>1</v>
      </c>
      <c r="P20" t="s">
        <v>8</v>
      </c>
      <c r="Q20" t="s">
        <v>6</v>
      </c>
    </row>
    <row r="21" spans="1:17" x14ac:dyDescent="0.25">
      <c r="A21">
        <v>20</v>
      </c>
      <c r="B21" t="s">
        <v>1</v>
      </c>
      <c r="C21" t="s">
        <v>8</v>
      </c>
      <c r="D21" t="s">
        <v>6</v>
      </c>
      <c r="N21">
        <v>21</v>
      </c>
      <c r="O21" t="s">
        <v>1</v>
      </c>
      <c r="P21" t="s">
        <v>8</v>
      </c>
      <c r="Q21" t="s">
        <v>6</v>
      </c>
    </row>
    <row r="22" spans="1:17" x14ac:dyDescent="0.25">
      <c r="A22">
        <v>21</v>
      </c>
      <c r="B22" t="s">
        <v>1</v>
      </c>
      <c r="C22" t="s">
        <v>8</v>
      </c>
      <c r="D22" t="s">
        <v>6</v>
      </c>
      <c r="N22">
        <v>22</v>
      </c>
      <c r="O22" t="s">
        <v>1</v>
      </c>
      <c r="P22" t="s">
        <v>8</v>
      </c>
      <c r="Q22" t="s">
        <v>6</v>
      </c>
    </row>
    <row r="23" spans="1:17" x14ac:dyDescent="0.25">
      <c r="A23">
        <v>22</v>
      </c>
      <c r="B23" t="s">
        <v>1</v>
      </c>
      <c r="C23" t="s">
        <v>8</v>
      </c>
      <c r="D23" t="s">
        <v>6</v>
      </c>
      <c r="N23">
        <v>23</v>
      </c>
      <c r="O23" t="s">
        <v>1</v>
      </c>
      <c r="P23" t="s">
        <v>8</v>
      </c>
      <c r="Q23" t="s">
        <v>6</v>
      </c>
    </row>
    <row r="24" spans="1:17" x14ac:dyDescent="0.25">
      <c r="A24">
        <v>23</v>
      </c>
      <c r="B24" t="s">
        <v>1</v>
      </c>
      <c r="C24" t="s">
        <v>8</v>
      </c>
      <c r="D24" t="s">
        <v>6</v>
      </c>
      <c r="N24">
        <v>24</v>
      </c>
      <c r="O24" t="s">
        <v>52</v>
      </c>
      <c r="P24" t="s">
        <v>8</v>
      </c>
      <c r="Q24" t="s">
        <v>6</v>
      </c>
    </row>
    <row r="25" spans="1:17" x14ac:dyDescent="0.25">
      <c r="A25">
        <v>24</v>
      </c>
      <c r="B25" t="s">
        <v>52</v>
      </c>
      <c r="C25" t="s">
        <v>8</v>
      </c>
      <c r="D25" t="s">
        <v>6</v>
      </c>
      <c r="N25">
        <v>25</v>
      </c>
      <c r="O25" t="s">
        <v>52</v>
      </c>
      <c r="P25" t="s">
        <v>8</v>
      </c>
      <c r="Q25" t="s">
        <v>6</v>
      </c>
    </row>
    <row r="26" spans="1:17" x14ac:dyDescent="0.25">
      <c r="A26">
        <v>25</v>
      </c>
      <c r="B26" t="s">
        <v>52</v>
      </c>
      <c r="C26" t="s">
        <v>8</v>
      </c>
      <c r="D26" t="s">
        <v>6</v>
      </c>
      <c r="N26">
        <v>26</v>
      </c>
      <c r="O26" t="s">
        <v>52</v>
      </c>
      <c r="P26" t="s">
        <v>8</v>
      </c>
      <c r="Q26" t="s">
        <v>6</v>
      </c>
    </row>
    <row r="27" spans="1:17" x14ac:dyDescent="0.25">
      <c r="A27">
        <v>26</v>
      </c>
      <c r="B27" t="s">
        <v>52</v>
      </c>
      <c r="C27" t="s">
        <v>8</v>
      </c>
      <c r="D27" t="s">
        <v>6</v>
      </c>
      <c r="N27">
        <v>27</v>
      </c>
      <c r="O27" t="s">
        <v>52</v>
      </c>
      <c r="P27" t="s">
        <v>8</v>
      </c>
      <c r="Q27" t="s">
        <v>6</v>
      </c>
    </row>
    <row r="28" spans="1:17" x14ac:dyDescent="0.25">
      <c r="A28">
        <v>27</v>
      </c>
      <c r="B28" t="s">
        <v>52</v>
      </c>
      <c r="C28" t="s">
        <v>8</v>
      </c>
      <c r="D28" t="s">
        <v>6</v>
      </c>
      <c r="N28">
        <v>28</v>
      </c>
      <c r="O28" t="s">
        <v>52</v>
      </c>
      <c r="P28" t="s">
        <v>8</v>
      </c>
      <c r="Q28" t="s">
        <v>6</v>
      </c>
    </row>
    <row r="29" spans="1:17" x14ac:dyDescent="0.25">
      <c r="A29">
        <v>28</v>
      </c>
      <c r="B29" t="s">
        <v>52</v>
      </c>
      <c r="C29" t="s">
        <v>8</v>
      </c>
      <c r="D29" t="s">
        <v>6</v>
      </c>
      <c r="N29">
        <v>29</v>
      </c>
      <c r="O29" t="s">
        <v>52</v>
      </c>
      <c r="P29" t="s">
        <v>8</v>
      </c>
      <c r="Q29" t="s">
        <v>6</v>
      </c>
    </row>
    <row r="30" spans="1:17" x14ac:dyDescent="0.25">
      <c r="A30">
        <v>29</v>
      </c>
      <c r="B30" t="s">
        <v>52</v>
      </c>
      <c r="C30" t="s">
        <v>8</v>
      </c>
      <c r="D30" t="s">
        <v>6</v>
      </c>
      <c r="N30">
        <v>30</v>
      </c>
      <c r="O30" t="s">
        <v>2</v>
      </c>
      <c r="P30" t="s">
        <v>8</v>
      </c>
      <c r="Q30" t="s">
        <v>6</v>
      </c>
    </row>
    <row r="31" spans="1:17" x14ac:dyDescent="0.25">
      <c r="A31">
        <v>30</v>
      </c>
      <c r="B31" t="s">
        <v>2</v>
      </c>
      <c r="C31" t="s">
        <v>8</v>
      </c>
      <c r="D31" t="s">
        <v>6</v>
      </c>
      <c r="N31">
        <v>31</v>
      </c>
      <c r="O31" t="s">
        <v>2</v>
      </c>
      <c r="P31" t="s">
        <v>8</v>
      </c>
      <c r="Q31" t="s">
        <v>6</v>
      </c>
    </row>
    <row r="32" spans="1:17" x14ac:dyDescent="0.25">
      <c r="A32">
        <v>31</v>
      </c>
      <c r="B32" t="s">
        <v>2</v>
      </c>
      <c r="C32" t="s">
        <v>8</v>
      </c>
      <c r="D32" t="s">
        <v>6</v>
      </c>
      <c r="N32">
        <v>32</v>
      </c>
      <c r="O32" t="s">
        <v>2</v>
      </c>
      <c r="P32" t="s">
        <v>8</v>
      </c>
      <c r="Q32" t="s">
        <v>6</v>
      </c>
    </row>
    <row r="33" spans="1:17" x14ac:dyDescent="0.25">
      <c r="A33">
        <v>32</v>
      </c>
      <c r="B33" t="s">
        <v>2</v>
      </c>
      <c r="C33" t="s">
        <v>8</v>
      </c>
      <c r="D33" t="s">
        <v>6</v>
      </c>
      <c r="N33">
        <v>33</v>
      </c>
      <c r="O33" t="s">
        <v>2</v>
      </c>
      <c r="P33" t="s">
        <v>8</v>
      </c>
      <c r="Q33" t="s">
        <v>6</v>
      </c>
    </row>
    <row r="34" spans="1:17" x14ac:dyDescent="0.25">
      <c r="A34">
        <v>33</v>
      </c>
      <c r="B34" t="s">
        <v>2</v>
      </c>
      <c r="C34" t="s">
        <v>8</v>
      </c>
      <c r="D34" t="s">
        <v>6</v>
      </c>
      <c r="N34">
        <v>34</v>
      </c>
      <c r="O34" t="s">
        <v>2</v>
      </c>
      <c r="P34" t="s">
        <v>8</v>
      </c>
      <c r="Q34" t="s">
        <v>6</v>
      </c>
    </row>
    <row r="35" spans="1:17" x14ac:dyDescent="0.25">
      <c r="A35">
        <v>34</v>
      </c>
      <c r="B35" t="s">
        <v>2</v>
      </c>
      <c r="C35" t="s">
        <v>8</v>
      </c>
      <c r="D35" t="s">
        <v>6</v>
      </c>
      <c r="N35">
        <v>35</v>
      </c>
      <c r="O35" t="s">
        <v>2</v>
      </c>
      <c r="P35" t="s">
        <v>8</v>
      </c>
      <c r="Q35" t="s">
        <v>6</v>
      </c>
    </row>
    <row r="36" spans="1:17" x14ac:dyDescent="0.25">
      <c r="A36">
        <v>35</v>
      </c>
      <c r="B36" t="s">
        <v>2</v>
      </c>
      <c r="C36" t="s">
        <v>8</v>
      </c>
      <c r="D36" t="s">
        <v>6</v>
      </c>
      <c r="N36">
        <v>36</v>
      </c>
      <c r="O36" t="s">
        <v>2</v>
      </c>
      <c r="P36" t="s">
        <v>8</v>
      </c>
      <c r="Q36" t="s">
        <v>6</v>
      </c>
    </row>
    <row r="37" spans="1:17" x14ac:dyDescent="0.25">
      <c r="A37">
        <v>36</v>
      </c>
      <c r="B37" t="s">
        <v>2</v>
      </c>
      <c r="C37" t="s">
        <v>8</v>
      </c>
      <c r="D37" t="s">
        <v>6</v>
      </c>
      <c r="N37">
        <v>37</v>
      </c>
      <c r="O37" t="s">
        <v>2</v>
      </c>
      <c r="P37" t="s">
        <v>8</v>
      </c>
      <c r="Q37" t="s">
        <v>6</v>
      </c>
    </row>
    <row r="38" spans="1:17" x14ac:dyDescent="0.25">
      <c r="A38">
        <v>37</v>
      </c>
      <c r="B38" t="s">
        <v>2</v>
      </c>
      <c r="C38" t="s">
        <v>8</v>
      </c>
      <c r="D38" t="s">
        <v>6</v>
      </c>
      <c r="N38">
        <v>38</v>
      </c>
      <c r="O38" t="s">
        <v>2</v>
      </c>
      <c r="P38" t="s">
        <v>8</v>
      </c>
      <c r="Q38" t="s">
        <v>6</v>
      </c>
    </row>
    <row r="39" spans="1:17" x14ac:dyDescent="0.25">
      <c r="A39">
        <v>38</v>
      </c>
      <c r="B39" t="s">
        <v>2</v>
      </c>
      <c r="C39" t="s">
        <v>8</v>
      </c>
      <c r="D39" t="s">
        <v>6</v>
      </c>
      <c r="N39">
        <v>39</v>
      </c>
      <c r="O39" t="s">
        <v>2</v>
      </c>
      <c r="P39" t="s">
        <v>8</v>
      </c>
      <c r="Q39" t="s">
        <v>6</v>
      </c>
    </row>
    <row r="40" spans="1:17" x14ac:dyDescent="0.25">
      <c r="A40">
        <v>39</v>
      </c>
      <c r="B40" t="s">
        <v>2</v>
      </c>
      <c r="C40" t="s">
        <v>8</v>
      </c>
      <c r="D40" t="s">
        <v>6</v>
      </c>
      <c r="N40">
        <v>40</v>
      </c>
      <c r="O40" t="s">
        <v>2</v>
      </c>
      <c r="P40" t="s">
        <v>8</v>
      </c>
      <c r="Q40" t="s">
        <v>6</v>
      </c>
    </row>
    <row r="41" spans="1:17" x14ac:dyDescent="0.25">
      <c r="A41">
        <v>40</v>
      </c>
      <c r="B41" t="s">
        <v>2</v>
      </c>
      <c r="C41" t="s">
        <v>8</v>
      </c>
      <c r="D41" t="s">
        <v>6</v>
      </c>
      <c r="N41">
        <v>41</v>
      </c>
      <c r="O41" t="s">
        <v>2</v>
      </c>
      <c r="P41" t="s">
        <v>8</v>
      </c>
      <c r="Q41" t="s">
        <v>6</v>
      </c>
    </row>
    <row r="42" spans="1:17" x14ac:dyDescent="0.25">
      <c r="A42">
        <v>41</v>
      </c>
      <c r="B42" t="s">
        <v>2</v>
      </c>
      <c r="C42" t="s">
        <v>8</v>
      </c>
      <c r="D42" t="s">
        <v>6</v>
      </c>
      <c r="N42">
        <v>42</v>
      </c>
      <c r="O42" t="s">
        <v>2</v>
      </c>
      <c r="P42" t="s">
        <v>8</v>
      </c>
      <c r="Q42" t="s">
        <v>6</v>
      </c>
    </row>
    <row r="43" spans="1:17" x14ac:dyDescent="0.25">
      <c r="A43">
        <v>42</v>
      </c>
      <c r="B43" t="s">
        <v>2</v>
      </c>
      <c r="C43" t="s">
        <v>8</v>
      </c>
      <c r="D43" t="s">
        <v>6</v>
      </c>
      <c r="N43">
        <v>43</v>
      </c>
      <c r="O43" t="s">
        <v>2</v>
      </c>
      <c r="P43" t="s">
        <v>8</v>
      </c>
      <c r="Q43" t="s">
        <v>6</v>
      </c>
    </row>
    <row r="44" spans="1:17" x14ac:dyDescent="0.25">
      <c r="A44">
        <v>43</v>
      </c>
      <c r="B44" t="s">
        <v>2</v>
      </c>
      <c r="C44" t="s">
        <v>8</v>
      </c>
      <c r="D44" t="s">
        <v>6</v>
      </c>
      <c r="N44">
        <v>44</v>
      </c>
      <c r="O44" t="s">
        <v>2</v>
      </c>
      <c r="P44" t="s">
        <v>8</v>
      </c>
      <c r="Q44" t="s">
        <v>6</v>
      </c>
    </row>
    <row r="45" spans="1:17" x14ac:dyDescent="0.25">
      <c r="A45">
        <v>44</v>
      </c>
      <c r="B45" t="s">
        <v>2</v>
      </c>
      <c r="C45" t="s">
        <v>8</v>
      </c>
      <c r="D45" t="s">
        <v>6</v>
      </c>
      <c r="N45">
        <v>45</v>
      </c>
      <c r="O45" t="s">
        <v>2</v>
      </c>
      <c r="P45" t="s">
        <v>8</v>
      </c>
      <c r="Q45" t="s">
        <v>6</v>
      </c>
    </row>
    <row r="46" spans="1:17" x14ac:dyDescent="0.25">
      <c r="A46">
        <v>45</v>
      </c>
      <c r="B46" t="s">
        <v>2</v>
      </c>
      <c r="C46" t="s">
        <v>8</v>
      </c>
      <c r="D46" t="s">
        <v>6</v>
      </c>
      <c r="N46">
        <v>46</v>
      </c>
      <c r="O46" t="s">
        <v>2</v>
      </c>
      <c r="P46" t="s">
        <v>8</v>
      </c>
      <c r="Q46" t="s">
        <v>6</v>
      </c>
    </row>
    <row r="47" spans="1:17" x14ac:dyDescent="0.25">
      <c r="A47">
        <v>46</v>
      </c>
      <c r="B47" t="s">
        <v>2</v>
      </c>
      <c r="C47" t="s">
        <v>8</v>
      </c>
      <c r="D47" t="s">
        <v>6</v>
      </c>
      <c r="N47">
        <v>47</v>
      </c>
      <c r="O47" t="s">
        <v>2</v>
      </c>
      <c r="P47" t="s">
        <v>8</v>
      </c>
      <c r="Q47" t="s">
        <v>6</v>
      </c>
    </row>
    <row r="48" spans="1:17" x14ac:dyDescent="0.25">
      <c r="A48">
        <v>47</v>
      </c>
      <c r="B48" t="s">
        <v>2</v>
      </c>
      <c r="C48" t="s">
        <v>8</v>
      </c>
      <c r="D48" t="s">
        <v>6</v>
      </c>
      <c r="N48">
        <v>48</v>
      </c>
      <c r="O48" t="s">
        <v>2</v>
      </c>
      <c r="P48" t="s">
        <v>8</v>
      </c>
      <c r="Q48" t="s">
        <v>6</v>
      </c>
    </row>
    <row r="49" spans="1:17" x14ac:dyDescent="0.25">
      <c r="A49">
        <v>48</v>
      </c>
      <c r="B49" t="s">
        <v>2</v>
      </c>
      <c r="C49" t="s">
        <v>8</v>
      </c>
      <c r="D49" t="s">
        <v>6</v>
      </c>
      <c r="N49">
        <v>49</v>
      </c>
      <c r="O49" t="s">
        <v>2</v>
      </c>
      <c r="P49" t="s">
        <v>8</v>
      </c>
      <c r="Q49" t="s">
        <v>6</v>
      </c>
    </row>
    <row r="50" spans="1:17" x14ac:dyDescent="0.25">
      <c r="A50">
        <v>49</v>
      </c>
      <c r="B50" t="s">
        <v>2</v>
      </c>
      <c r="C50" t="s">
        <v>8</v>
      </c>
      <c r="D50" t="s">
        <v>6</v>
      </c>
      <c r="N50">
        <v>50</v>
      </c>
      <c r="O50" t="s">
        <v>2</v>
      </c>
      <c r="P50" t="s">
        <v>8</v>
      </c>
      <c r="Q50" t="s">
        <v>6</v>
      </c>
    </row>
    <row r="51" spans="1:17" x14ac:dyDescent="0.25">
      <c r="A51">
        <v>50</v>
      </c>
      <c r="B51" t="s">
        <v>2</v>
      </c>
      <c r="C51" t="s">
        <v>8</v>
      </c>
      <c r="D51" t="s">
        <v>6</v>
      </c>
      <c r="N51">
        <v>51</v>
      </c>
      <c r="O51" t="s">
        <v>2</v>
      </c>
      <c r="P51" t="s">
        <v>8</v>
      </c>
      <c r="Q51" t="s">
        <v>6</v>
      </c>
    </row>
    <row r="52" spans="1:17" x14ac:dyDescent="0.25">
      <c r="A52">
        <v>51</v>
      </c>
      <c r="B52" t="s">
        <v>2</v>
      </c>
      <c r="C52" t="s">
        <v>8</v>
      </c>
      <c r="D52" t="s">
        <v>6</v>
      </c>
      <c r="N52">
        <v>52</v>
      </c>
      <c r="O52" t="s">
        <v>2</v>
      </c>
      <c r="P52" t="s">
        <v>8</v>
      </c>
      <c r="Q52" t="s">
        <v>6</v>
      </c>
    </row>
    <row r="53" spans="1:17" x14ac:dyDescent="0.25">
      <c r="A53">
        <v>52</v>
      </c>
      <c r="B53" t="s">
        <v>2</v>
      </c>
      <c r="C53" t="s">
        <v>8</v>
      </c>
      <c r="D53" t="s">
        <v>6</v>
      </c>
      <c r="N53">
        <v>53</v>
      </c>
      <c r="O53" t="s">
        <v>2</v>
      </c>
      <c r="P53" t="s">
        <v>8</v>
      </c>
      <c r="Q53" t="s">
        <v>6</v>
      </c>
    </row>
    <row r="54" spans="1:17" x14ac:dyDescent="0.25">
      <c r="A54">
        <v>53</v>
      </c>
      <c r="B54" t="s">
        <v>2</v>
      </c>
      <c r="C54" t="s">
        <v>8</v>
      </c>
      <c r="D54" t="s">
        <v>6</v>
      </c>
      <c r="N54">
        <v>54</v>
      </c>
      <c r="O54" t="s">
        <v>2</v>
      </c>
      <c r="P54" t="s">
        <v>8</v>
      </c>
      <c r="Q54" t="s">
        <v>6</v>
      </c>
    </row>
    <row r="55" spans="1:17" x14ac:dyDescent="0.25">
      <c r="A55">
        <v>54</v>
      </c>
      <c r="B55" t="s">
        <v>2</v>
      </c>
      <c r="C55" t="s">
        <v>8</v>
      </c>
      <c r="D55" t="s">
        <v>6</v>
      </c>
      <c r="N55">
        <v>55</v>
      </c>
      <c r="O55" t="s">
        <v>2</v>
      </c>
      <c r="P55" t="s">
        <v>8</v>
      </c>
      <c r="Q55" t="s">
        <v>6</v>
      </c>
    </row>
    <row r="56" spans="1:17" x14ac:dyDescent="0.25">
      <c r="A56">
        <v>55</v>
      </c>
      <c r="B56" t="s">
        <v>2</v>
      </c>
      <c r="C56" t="s">
        <v>8</v>
      </c>
      <c r="D56" t="s">
        <v>6</v>
      </c>
      <c r="N56">
        <v>56</v>
      </c>
      <c r="O56" t="s">
        <v>2</v>
      </c>
      <c r="P56" t="s">
        <v>8</v>
      </c>
      <c r="Q56" t="s">
        <v>6</v>
      </c>
    </row>
    <row r="57" spans="1:17" x14ac:dyDescent="0.25">
      <c r="A57">
        <v>56</v>
      </c>
      <c r="B57" t="s">
        <v>2</v>
      </c>
      <c r="C57" t="s">
        <v>8</v>
      </c>
      <c r="D57" t="s">
        <v>6</v>
      </c>
      <c r="N57">
        <v>57</v>
      </c>
      <c r="O57" t="s">
        <v>2</v>
      </c>
      <c r="P57" t="s">
        <v>8</v>
      </c>
      <c r="Q57" t="s">
        <v>6</v>
      </c>
    </row>
    <row r="58" spans="1:17" x14ac:dyDescent="0.25">
      <c r="A58">
        <v>57</v>
      </c>
      <c r="B58" t="s">
        <v>2</v>
      </c>
      <c r="C58" t="s">
        <v>8</v>
      </c>
      <c r="D58" t="s">
        <v>6</v>
      </c>
      <c r="N58">
        <v>58</v>
      </c>
      <c r="O58" t="s">
        <v>2</v>
      </c>
      <c r="P58" t="s">
        <v>8</v>
      </c>
      <c r="Q58" t="s">
        <v>6</v>
      </c>
    </row>
    <row r="59" spans="1:17" x14ac:dyDescent="0.25">
      <c r="A59">
        <v>58</v>
      </c>
      <c r="B59" t="s">
        <v>2</v>
      </c>
      <c r="C59" t="s">
        <v>8</v>
      </c>
      <c r="D59" t="s">
        <v>6</v>
      </c>
      <c r="N59">
        <v>59</v>
      </c>
      <c r="O59" t="s">
        <v>2</v>
      </c>
      <c r="P59" t="s">
        <v>8</v>
      </c>
      <c r="Q59" t="s">
        <v>6</v>
      </c>
    </row>
    <row r="60" spans="1:17" x14ac:dyDescent="0.25">
      <c r="A60">
        <v>59</v>
      </c>
      <c r="B60" t="s">
        <v>2</v>
      </c>
      <c r="C60" t="s">
        <v>8</v>
      </c>
      <c r="D60" t="s">
        <v>6</v>
      </c>
      <c r="N60">
        <v>60</v>
      </c>
      <c r="O60" t="s">
        <v>2</v>
      </c>
      <c r="P60" t="s">
        <v>8</v>
      </c>
      <c r="Q60" t="s">
        <v>6</v>
      </c>
    </row>
    <row r="61" spans="1:17" x14ac:dyDescent="0.25">
      <c r="A61">
        <v>60</v>
      </c>
      <c r="B61" t="s">
        <v>2</v>
      </c>
      <c r="C61" t="s">
        <v>8</v>
      </c>
      <c r="D61" t="s">
        <v>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50ABB-6C52-4369-BD09-7C40122490DC}">
  <sheetPr codeName="shMetrics"/>
  <dimension ref="A1:D30"/>
  <sheetViews>
    <sheetView showGridLines="0" workbookViewId="0">
      <selection activeCell="D30" sqref="D30"/>
    </sheetView>
  </sheetViews>
  <sheetFormatPr defaultRowHeight="15" x14ac:dyDescent="0.25"/>
  <cols>
    <col min="1" max="1" width="3.7109375" style="1" customWidth="1"/>
    <col min="3" max="3" width="35.140625" bestFit="1" customWidth="1"/>
    <col min="4" max="4" width="9.140625" customWidth="1"/>
  </cols>
  <sheetData>
    <row r="1" spans="3:4" s="1" customFormat="1" ht="36" customHeight="1" x14ac:dyDescent="0.25"/>
    <row r="3" spans="3:4" ht="15.75" thickBot="1" x14ac:dyDescent="0.3"/>
    <row r="4" spans="3:4" x14ac:dyDescent="0.25">
      <c r="C4" s="2" t="s">
        <v>12</v>
      </c>
      <c r="D4" s="3">
        <f>COUNT(Master[Number])</f>
        <v>60</v>
      </c>
    </row>
    <row r="5" spans="3:4" x14ac:dyDescent="0.25">
      <c r="C5" s="4" t="s">
        <v>11</v>
      </c>
      <c r="D5" s="5">
        <f>COUNT(Hand[Number])</f>
        <v>1</v>
      </c>
    </row>
    <row r="6" spans="3:4" x14ac:dyDescent="0.25">
      <c r="C6" s="4" t="s">
        <v>13</v>
      </c>
      <c r="D6" s="5">
        <f>COUNT(Deck[Number])</f>
        <v>59</v>
      </c>
    </row>
    <row r="7" spans="3:4" x14ac:dyDescent="0.25">
      <c r="C7" s="4" t="s">
        <v>23</v>
      </c>
      <c r="D7" s="5">
        <f>COUNTIFS(Field[Type],"Blue")</f>
        <v>0</v>
      </c>
    </row>
    <row r="8" spans="3:4" x14ac:dyDescent="0.25">
      <c r="C8" s="4" t="s">
        <v>14</v>
      </c>
      <c r="D8" s="5">
        <v>0</v>
      </c>
    </row>
    <row r="9" spans="3:4" x14ac:dyDescent="0.25">
      <c r="C9" s="4" t="s">
        <v>15</v>
      </c>
      <c r="D9" s="5">
        <f>COUNTIFS(Hand[Type],"Blue")+Opt_Factor*COUNTIFS(Hand[Type],"Opt")</f>
        <v>1</v>
      </c>
    </row>
    <row r="10" spans="3:4" x14ac:dyDescent="0.25">
      <c r="C10" s="4" t="s">
        <v>16</v>
      </c>
      <c r="D10" s="5">
        <f>COUNTIFS(Deck[Type],"Blue")/Cards_left_in_deck+COUNTIFS(Deck[Type],"Blue")/16*0.2</f>
        <v>0.53008474576271192</v>
      </c>
    </row>
    <row r="11" spans="3:4" x14ac:dyDescent="0.25">
      <c r="C11" s="8" t="s">
        <v>35</v>
      </c>
      <c r="D11" s="5" t="b">
        <f>Untapped_Blue_on_field&gt;0</f>
        <v>0</v>
      </c>
    </row>
    <row r="12" spans="3:4" x14ac:dyDescent="0.25">
      <c r="C12" s="4" t="s">
        <v>26</v>
      </c>
      <c r="D12" s="5">
        <f>COUNTIFS(Field[Type],"Blue",Field[Status],"Untapped")</f>
        <v>0</v>
      </c>
    </row>
    <row r="13" spans="3:4" x14ac:dyDescent="0.25">
      <c r="C13" s="4" t="s">
        <v>17</v>
      </c>
      <c r="D13" s="5">
        <v>1.5</v>
      </c>
    </row>
    <row r="14" spans="3:4" x14ac:dyDescent="0.25">
      <c r="C14" s="4" t="s">
        <v>18</v>
      </c>
      <c r="D14" s="5" t="b">
        <f>AND(Number_of_blue___non_blue_lands_in_hand&gt;=2,Number_of_blue___non_blue_lands_in_hand&lt;6,Number_of_Lands_in_hand&gt;=1)</f>
        <v>0</v>
      </c>
    </row>
    <row r="15" spans="3:4" x14ac:dyDescent="0.25">
      <c r="C15" s="4" t="s">
        <v>34</v>
      </c>
      <c r="D15" s="5" t="b">
        <f>ISNUMBER(MATCH("BlueNo",Hand[Key ID],0))</f>
        <v>1</v>
      </c>
    </row>
    <row r="16" spans="3:4" x14ac:dyDescent="0.25">
      <c r="C16" s="4" t="s">
        <v>20</v>
      </c>
      <c r="D16" s="5">
        <f>COUNTIFS(Hand[Type],"Blue",Hand[Tapland?],"No")</f>
        <v>1</v>
      </c>
    </row>
    <row r="17" spans="3:4" x14ac:dyDescent="0.25">
      <c r="C17" s="4" t="s">
        <v>32</v>
      </c>
      <c r="D17" s="5" t="b">
        <f>ISNUMBER(MATCH("BlueYes",Hand[Key ID],0))</f>
        <v>0</v>
      </c>
    </row>
    <row r="18" spans="3:4" x14ac:dyDescent="0.25">
      <c r="C18" s="4" t="s">
        <v>21</v>
      </c>
      <c r="D18" s="5">
        <f>COUNTIFS(Hand[Type],"Blue",Hand[Tapland?],"Yes")</f>
        <v>0</v>
      </c>
    </row>
    <row r="19" spans="3:4" x14ac:dyDescent="0.25">
      <c r="C19" s="4" t="s">
        <v>22</v>
      </c>
      <c r="D19" s="5">
        <f>MAX(0,3-Turn)</f>
        <v>3</v>
      </c>
    </row>
    <row r="20" spans="3:4" x14ac:dyDescent="0.25">
      <c r="C20" s="4" t="s">
        <v>24</v>
      </c>
      <c r="D20" s="5" t="b">
        <f>NOT(Turn=D7)</f>
        <v>0</v>
      </c>
    </row>
    <row r="21" spans="3:4" x14ac:dyDescent="0.25">
      <c r="C21" s="4" t="s">
        <v>25</v>
      </c>
      <c r="D21" s="5" t="b">
        <f>MIN(Max_Tapped_Land_left,Tapped_Blue_in_hand)+Lands_on_the_field+Untapped_Blue_in_hand&gt;=3</f>
        <v>0</v>
      </c>
    </row>
    <row r="22" spans="3:4" x14ac:dyDescent="0.25">
      <c r="C22" s="4" t="s">
        <v>27</v>
      </c>
      <c r="D22" s="5" t="b">
        <f>ISNUMBER(MATCH("Untapped",Field[Status],0))</f>
        <v>0</v>
      </c>
    </row>
    <row r="23" spans="3:4" x14ac:dyDescent="0.25">
      <c r="C23" s="4" t="s">
        <v>28</v>
      </c>
      <c r="D23" s="5">
        <f>IF(Untapped_Land?,MATCH("Untapped",Field[Status],0),0)</f>
        <v>0</v>
      </c>
    </row>
    <row r="24" spans="3:4" x14ac:dyDescent="0.25">
      <c r="C24" s="4" t="s">
        <v>30</v>
      </c>
      <c r="D24" s="5">
        <f>IF(Has_Untapped_Blue,INDEX(Hand[Number],MATCH("BlueNo",Hand[Key ID],0)))</f>
        <v>7</v>
      </c>
    </row>
    <row r="25" spans="3:4" x14ac:dyDescent="0.25">
      <c r="C25" s="4" t="s">
        <v>31</v>
      </c>
      <c r="D25" s="5" t="b">
        <f>IF(Has_Tapped_Blue,INDEX(Hand[Number],MATCH("BlueYes",Hand[Key ID],0)))</f>
        <v>0</v>
      </c>
    </row>
    <row r="26" spans="3:4" x14ac:dyDescent="0.25">
      <c r="C26" s="8" t="s">
        <v>33</v>
      </c>
      <c r="D26" s="5" t="b">
        <f>ISNUMBER(MATCH("Opt",Hand[Type],0))</f>
        <v>0</v>
      </c>
    </row>
    <row r="27" spans="3:4" x14ac:dyDescent="0.25">
      <c r="C27" s="8" t="s">
        <v>36</v>
      </c>
      <c r="D27" s="5" t="e">
        <f>INDEX(Hand[Number],MATCH("Opt",Hand[Type],0))</f>
        <v>#N/A</v>
      </c>
    </row>
    <row r="28" spans="3:4" x14ac:dyDescent="0.25">
      <c r="C28" s="8" t="s">
        <v>49</v>
      </c>
      <c r="D28" s="5">
        <f>COUNTIFS(Hand[Type],"Opt")</f>
        <v>0</v>
      </c>
    </row>
    <row r="29" spans="3:4" x14ac:dyDescent="0.25">
      <c r="C29" s="8" t="s">
        <v>53</v>
      </c>
      <c r="D29" s="5">
        <f>COUNTIFS(Hand[Type],"Blue")</f>
        <v>1</v>
      </c>
    </row>
    <row r="30" spans="3:4" ht="15.75" thickBot="1" x14ac:dyDescent="0.3">
      <c r="C30" s="7" t="s">
        <v>54</v>
      </c>
      <c r="D30" s="6">
        <f>COUNTIFS(Hand[Type],"Blue")+COUNTIFS(Hand[Type],"Non-Blue Land")</f>
        <v>1</v>
      </c>
    </row>
  </sheetData>
  <pageMargins left="0.7" right="0.7" top="0.75" bottom="0.75" header="0.3" footer="0.3"/>
  <cellWatches>
    <cellWatch r="D16"/>
  </cellWatch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E1B87-85E2-4C59-A735-9E1E89726EB9}">
  <sheetPr codeName="shResults"/>
  <dimension ref="A1:L175"/>
  <sheetViews>
    <sheetView showGridLines="0" tabSelected="1" workbookViewId="0">
      <selection activeCell="K4" sqref="K4"/>
    </sheetView>
  </sheetViews>
  <sheetFormatPr defaultRowHeight="15" x14ac:dyDescent="0.25"/>
  <cols>
    <col min="1" max="1" width="5.42578125" style="1" customWidth="1"/>
    <col min="4" max="4" width="16.140625" customWidth="1"/>
    <col min="5" max="5" width="19.85546875" bestFit="1" customWidth="1"/>
    <col min="6" max="6" width="19.42578125" customWidth="1"/>
    <col min="7" max="7" width="22.7109375" bestFit="1" customWidth="1"/>
  </cols>
  <sheetData>
    <row r="1" spans="4:12" s="1" customFormat="1" ht="43.5" customHeight="1" x14ac:dyDescent="0.25"/>
    <row r="7" spans="4:12" x14ac:dyDescent="0.25">
      <c r="D7" t="s">
        <v>37</v>
      </c>
      <c r="E7" t="s">
        <v>38</v>
      </c>
      <c r="F7" t="s">
        <v>25</v>
      </c>
      <c r="G7" t="s">
        <v>50</v>
      </c>
      <c r="H7" t="s">
        <v>51</v>
      </c>
      <c r="I7" t="s">
        <v>55</v>
      </c>
      <c r="K7" t="s">
        <v>39</v>
      </c>
      <c r="L7">
        <f>COUNTIFS(Results[Victory?],TRUE)</f>
        <v>124</v>
      </c>
    </row>
    <row r="8" spans="4:12" x14ac:dyDescent="0.25">
      <c r="D8" t="b">
        <v>1</v>
      </c>
      <c r="E8">
        <v>7</v>
      </c>
      <c r="F8" t="b">
        <v>1</v>
      </c>
      <c r="G8">
        <v>3</v>
      </c>
      <c r="H8">
        <v>2</v>
      </c>
      <c r="I8">
        <v>3</v>
      </c>
      <c r="K8" t="s">
        <v>40</v>
      </c>
      <c r="L8">
        <f>COUNTIFS(Results[Victory?],FALSE)</f>
        <v>44</v>
      </c>
    </row>
    <row r="9" spans="4:12" x14ac:dyDescent="0.25">
      <c r="D9" t="b">
        <v>1</v>
      </c>
      <c r="E9">
        <v>7</v>
      </c>
      <c r="F9" t="b">
        <v>1</v>
      </c>
      <c r="G9">
        <v>4</v>
      </c>
      <c r="H9">
        <v>0</v>
      </c>
      <c r="I9">
        <v>4</v>
      </c>
      <c r="K9" t="s">
        <v>41</v>
      </c>
      <c r="L9" s="9">
        <f>L7/(L7+L8)</f>
        <v>0.73809523809523814</v>
      </c>
    </row>
    <row r="10" spans="4:12" x14ac:dyDescent="0.25">
      <c r="D10" t="b">
        <v>1</v>
      </c>
      <c r="E10">
        <v>7</v>
      </c>
      <c r="F10" t="b">
        <v>1</v>
      </c>
      <c r="G10">
        <v>3</v>
      </c>
      <c r="H10">
        <v>1</v>
      </c>
      <c r="I10">
        <v>2</v>
      </c>
    </row>
    <row r="11" spans="4:12" x14ac:dyDescent="0.25">
      <c r="D11" t="b">
        <v>0</v>
      </c>
      <c r="E11">
        <v>7</v>
      </c>
      <c r="F11" t="b">
        <v>0</v>
      </c>
      <c r="G11">
        <v>3</v>
      </c>
      <c r="H11">
        <v>0</v>
      </c>
      <c r="I11">
        <v>1</v>
      </c>
    </row>
    <row r="12" spans="4:12" x14ac:dyDescent="0.25">
      <c r="D12" t="b">
        <v>0</v>
      </c>
      <c r="E12">
        <v>7</v>
      </c>
      <c r="F12" t="b">
        <v>1</v>
      </c>
      <c r="G12">
        <v>4</v>
      </c>
      <c r="H12">
        <v>0</v>
      </c>
      <c r="I12">
        <v>3</v>
      </c>
    </row>
    <row r="13" spans="4:12" x14ac:dyDescent="0.25">
      <c r="D13" t="b">
        <v>0</v>
      </c>
      <c r="E13">
        <v>7</v>
      </c>
      <c r="F13" t="b">
        <v>1</v>
      </c>
      <c r="G13">
        <v>3</v>
      </c>
      <c r="H13">
        <v>1</v>
      </c>
      <c r="I13">
        <v>3</v>
      </c>
    </row>
    <row r="14" spans="4:12" x14ac:dyDescent="0.25">
      <c r="D14" t="b">
        <v>1</v>
      </c>
      <c r="E14">
        <v>7</v>
      </c>
      <c r="F14" t="b">
        <v>0</v>
      </c>
      <c r="G14">
        <v>4</v>
      </c>
      <c r="H14">
        <v>0</v>
      </c>
      <c r="I14">
        <v>2</v>
      </c>
    </row>
    <row r="15" spans="4:12" x14ac:dyDescent="0.25">
      <c r="D15" t="b">
        <v>1</v>
      </c>
      <c r="E15">
        <v>5</v>
      </c>
      <c r="F15" t="b">
        <v>0</v>
      </c>
      <c r="G15">
        <v>1</v>
      </c>
      <c r="H15">
        <v>0</v>
      </c>
      <c r="I15">
        <v>1</v>
      </c>
    </row>
    <row r="16" spans="4:12" x14ac:dyDescent="0.25">
      <c r="D16" t="b">
        <v>1</v>
      </c>
      <c r="E16">
        <v>7</v>
      </c>
      <c r="F16" t="b">
        <v>1</v>
      </c>
      <c r="G16">
        <v>5</v>
      </c>
      <c r="H16">
        <v>0</v>
      </c>
      <c r="I16">
        <v>3</v>
      </c>
    </row>
    <row r="17" spans="4:9" x14ac:dyDescent="0.25">
      <c r="D17" t="b">
        <v>0</v>
      </c>
      <c r="E17">
        <v>7</v>
      </c>
      <c r="F17" t="b">
        <v>1</v>
      </c>
      <c r="G17">
        <v>4</v>
      </c>
      <c r="H17">
        <v>2</v>
      </c>
      <c r="I17">
        <v>2</v>
      </c>
    </row>
    <row r="18" spans="4:9" x14ac:dyDescent="0.25">
      <c r="D18" t="b">
        <v>0</v>
      </c>
      <c r="E18">
        <v>6</v>
      </c>
      <c r="F18" t="b">
        <v>1</v>
      </c>
      <c r="G18">
        <v>2</v>
      </c>
      <c r="H18">
        <v>0</v>
      </c>
      <c r="I18">
        <v>1</v>
      </c>
    </row>
    <row r="19" spans="4:9" x14ac:dyDescent="0.25">
      <c r="D19" t="b">
        <v>1</v>
      </c>
      <c r="E19">
        <v>7</v>
      </c>
      <c r="F19" t="b">
        <v>1</v>
      </c>
      <c r="G19">
        <v>4</v>
      </c>
      <c r="H19">
        <v>1</v>
      </c>
      <c r="I19">
        <v>3</v>
      </c>
    </row>
    <row r="20" spans="4:9" x14ac:dyDescent="0.25">
      <c r="D20" t="b">
        <v>1</v>
      </c>
      <c r="E20">
        <v>7</v>
      </c>
      <c r="F20" t="b">
        <v>1</v>
      </c>
      <c r="G20">
        <v>3</v>
      </c>
      <c r="H20">
        <v>0</v>
      </c>
      <c r="I20">
        <v>2</v>
      </c>
    </row>
    <row r="21" spans="4:9" x14ac:dyDescent="0.25">
      <c r="D21" t="b">
        <v>0</v>
      </c>
      <c r="E21">
        <v>7</v>
      </c>
      <c r="F21" t="b">
        <v>1</v>
      </c>
      <c r="G21">
        <v>2</v>
      </c>
      <c r="H21">
        <v>1</v>
      </c>
      <c r="I21">
        <v>2</v>
      </c>
    </row>
    <row r="22" spans="4:9" x14ac:dyDescent="0.25">
      <c r="D22" t="b">
        <v>1</v>
      </c>
      <c r="E22">
        <v>7</v>
      </c>
      <c r="F22" t="b">
        <v>0</v>
      </c>
      <c r="G22">
        <v>3</v>
      </c>
      <c r="H22">
        <v>0</v>
      </c>
      <c r="I22">
        <v>1</v>
      </c>
    </row>
    <row r="23" spans="4:9" x14ac:dyDescent="0.25">
      <c r="D23" t="b">
        <v>1</v>
      </c>
      <c r="E23">
        <v>7</v>
      </c>
      <c r="F23" t="b">
        <v>1</v>
      </c>
      <c r="G23">
        <v>3</v>
      </c>
      <c r="H23">
        <v>0</v>
      </c>
      <c r="I23">
        <v>3</v>
      </c>
    </row>
    <row r="24" spans="4:9" x14ac:dyDescent="0.25">
      <c r="D24" t="b">
        <v>0</v>
      </c>
      <c r="E24">
        <v>7</v>
      </c>
      <c r="F24" t="b">
        <v>1</v>
      </c>
      <c r="G24">
        <v>5</v>
      </c>
      <c r="H24">
        <v>0</v>
      </c>
      <c r="I24">
        <v>4</v>
      </c>
    </row>
    <row r="25" spans="4:9" x14ac:dyDescent="0.25">
      <c r="D25" t="b">
        <v>1</v>
      </c>
      <c r="E25">
        <v>7</v>
      </c>
      <c r="F25" t="b">
        <v>1</v>
      </c>
      <c r="G25">
        <v>3</v>
      </c>
      <c r="H25">
        <v>0</v>
      </c>
      <c r="I25">
        <v>1</v>
      </c>
    </row>
    <row r="26" spans="4:9" x14ac:dyDescent="0.25">
      <c r="D26" t="b">
        <v>0</v>
      </c>
      <c r="E26">
        <v>7</v>
      </c>
      <c r="F26" t="b">
        <v>1</v>
      </c>
      <c r="G26">
        <v>3</v>
      </c>
      <c r="H26">
        <v>1</v>
      </c>
      <c r="I26">
        <v>2</v>
      </c>
    </row>
    <row r="27" spans="4:9" x14ac:dyDescent="0.25">
      <c r="D27" t="b">
        <v>1</v>
      </c>
      <c r="E27">
        <v>7</v>
      </c>
      <c r="F27" t="b">
        <v>0</v>
      </c>
      <c r="G27">
        <v>2</v>
      </c>
      <c r="H27">
        <v>0</v>
      </c>
      <c r="I27">
        <v>2</v>
      </c>
    </row>
    <row r="28" spans="4:9" x14ac:dyDescent="0.25">
      <c r="D28" t="b">
        <v>1</v>
      </c>
      <c r="E28">
        <v>7</v>
      </c>
      <c r="F28" t="b">
        <v>1</v>
      </c>
      <c r="G28">
        <v>4</v>
      </c>
      <c r="H28">
        <v>0</v>
      </c>
      <c r="I28">
        <v>3</v>
      </c>
    </row>
    <row r="29" spans="4:9" x14ac:dyDescent="0.25">
      <c r="D29" t="b">
        <v>0</v>
      </c>
      <c r="E29">
        <v>7</v>
      </c>
      <c r="F29" t="b">
        <v>1</v>
      </c>
      <c r="G29">
        <v>4</v>
      </c>
      <c r="H29">
        <v>1</v>
      </c>
      <c r="I29">
        <v>3</v>
      </c>
    </row>
    <row r="30" spans="4:9" x14ac:dyDescent="0.25">
      <c r="D30" t="b">
        <v>1</v>
      </c>
      <c r="E30">
        <v>7</v>
      </c>
      <c r="F30" t="b">
        <v>1</v>
      </c>
      <c r="G30">
        <v>3</v>
      </c>
      <c r="H30">
        <v>1</v>
      </c>
      <c r="I30">
        <v>3</v>
      </c>
    </row>
    <row r="31" spans="4:9" x14ac:dyDescent="0.25">
      <c r="D31" t="b">
        <v>0</v>
      </c>
      <c r="E31">
        <v>7</v>
      </c>
      <c r="F31" t="b">
        <v>1</v>
      </c>
      <c r="G31">
        <v>2</v>
      </c>
      <c r="H31">
        <v>0</v>
      </c>
      <c r="I31">
        <v>2</v>
      </c>
    </row>
    <row r="32" spans="4:9" x14ac:dyDescent="0.25">
      <c r="D32" t="b">
        <v>0</v>
      </c>
      <c r="E32">
        <v>6</v>
      </c>
      <c r="F32" t="b">
        <v>1</v>
      </c>
      <c r="G32">
        <v>2</v>
      </c>
      <c r="H32">
        <v>0</v>
      </c>
      <c r="I32">
        <v>2</v>
      </c>
    </row>
    <row r="33" spans="4:9" x14ac:dyDescent="0.25">
      <c r="D33" t="b">
        <v>1</v>
      </c>
      <c r="E33">
        <v>7</v>
      </c>
      <c r="F33" t="b">
        <v>0</v>
      </c>
      <c r="G33">
        <v>2</v>
      </c>
      <c r="H33">
        <v>0</v>
      </c>
      <c r="I33">
        <v>2</v>
      </c>
    </row>
    <row r="34" spans="4:9" x14ac:dyDescent="0.25">
      <c r="D34" t="b">
        <v>1</v>
      </c>
      <c r="E34">
        <v>7</v>
      </c>
      <c r="F34" t="b">
        <v>0</v>
      </c>
      <c r="G34">
        <v>2</v>
      </c>
      <c r="H34">
        <v>0</v>
      </c>
      <c r="I34">
        <v>1</v>
      </c>
    </row>
    <row r="35" spans="4:9" x14ac:dyDescent="0.25">
      <c r="D35" t="b">
        <v>0</v>
      </c>
      <c r="E35">
        <v>7</v>
      </c>
      <c r="F35" t="b">
        <v>0</v>
      </c>
      <c r="G35">
        <v>2</v>
      </c>
      <c r="H35">
        <v>1</v>
      </c>
      <c r="I35">
        <v>1</v>
      </c>
    </row>
    <row r="36" spans="4:9" x14ac:dyDescent="0.25">
      <c r="D36" t="b">
        <v>0</v>
      </c>
      <c r="E36">
        <v>7</v>
      </c>
      <c r="F36" t="b">
        <v>1</v>
      </c>
      <c r="G36">
        <v>2</v>
      </c>
      <c r="H36">
        <v>1</v>
      </c>
      <c r="I36">
        <v>1</v>
      </c>
    </row>
    <row r="37" spans="4:9" x14ac:dyDescent="0.25">
      <c r="D37" t="b">
        <v>1</v>
      </c>
      <c r="E37">
        <v>7</v>
      </c>
      <c r="F37" t="b">
        <v>1</v>
      </c>
      <c r="G37">
        <v>4</v>
      </c>
      <c r="H37">
        <v>0</v>
      </c>
      <c r="I37">
        <v>4</v>
      </c>
    </row>
    <row r="38" spans="4:9" x14ac:dyDescent="0.25">
      <c r="D38" t="b">
        <v>1</v>
      </c>
      <c r="E38">
        <v>7</v>
      </c>
      <c r="F38" t="b">
        <v>1</v>
      </c>
      <c r="G38">
        <v>4</v>
      </c>
      <c r="H38">
        <v>0</v>
      </c>
      <c r="I38">
        <v>3</v>
      </c>
    </row>
    <row r="39" spans="4:9" x14ac:dyDescent="0.25">
      <c r="D39" t="b">
        <v>1</v>
      </c>
      <c r="E39">
        <v>7</v>
      </c>
      <c r="F39" t="b">
        <v>1</v>
      </c>
      <c r="G39">
        <v>3</v>
      </c>
      <c r="H39">
        <v>1</v>
      </c>
      <c r="I39">
        <v>3</v>
      </c>
    </row>
    <row r="40" spans="4:9" x14ac:dyDescent="0.25">
      <c r="D40" t="b">
        <v>1</v>
      </c>
      <c r="E40">
        <v>7</v>
      </c>
      <c r="F40" t="b">
        <v>1</v>
      </c>
      <c r="G40">
        <v>3</v>
      </c>
      <c r="H40">
        <v>1</v>
      </c>
      <c r="I40">
        <v>3</v>
      </c>
    </row>
    <row r="41" spans="4:9" x14ac:dyDescent="0.25">
      <c r="D41" t="b">
        <v>1</v>
      </c>
      <c r="E41">
        <v>7</v>
      </c>
      <c r="F41" t="b">
        <v>1</v>
      </c>
      <c r="G41">
        <v>4</v>
      </c>
      <c r="H41">
        <v>0</v>
      </c>
      <c r="I41">
        <v>2</v>
      </c>
    </row>
    <row r="42" spans="4:9" x14ac:dyDescent="0.25">
      <c r="D42" t="b">
        <v>0</v>
      </c>
      <c r="E42">
        <v>7</v>
      </c>
      <c r="F42" t="b">
        <v>1</v>
      </c>
      <c r="G42">
        <v>2</v>
      </c>
      <c r="H42">
        <v>2</v>
      </c>
      <c r="I42">
        <v>2</v>
      </c>
    </row>
    <row r="43" spans="4:9" x14ac:dyDescent="0.25">
      <c r="D43" t="b">
        <v>1</v>
      </c>
      <c r="E43">
        <v>7</v>
      </c>
      <c r="F43" t="b">
        <v>1</v>
      </c>
      <c r="G43">
        <v>5</v>
      </c>
      <c r="H43">
        <v>0</v>
      </c>
      <c r="I43">
        <v>4</v>
      </c>
    </row>
    <row r="44" spans="4:9" x14ac:dyDescent="0.25">
      <c r="D44" t="b">
        <v>1</v>
      </c>
      <c r="E44">
        <v>7</v>
      </c>
      <c r="F44" t="b">
        <v>1</v>
      </c>
      <c r="G44">
        <v>4</v>
      </c>
      <c r="H44">
        <v>0</v>
      </c>
      <c r="I44">
        <v>3</v>
      </c>
    </row>
    <row r="45" spans="4:9" x14ac:dyDescent="0.25">
      <c r="D45" t="b">
        <v>0</v>
      </c>
      <c r="E45">
        <v>5</v>
      </c>
      <c r="F45" t="b">
        <v>0</v>
      </c>
      <c r="G45">
        <v>3</v>
      </c>
      <c r="H45">
        <v>0</v>
      </c>
      <c r="I45">
        <v>1</v>
      </c>
    </row>
    <row r="46" spans="4:9" x14ac:dyDescent="0.25">
      <c r="D46" t="b">
        <v>1</v>
      </c>
      <c r="E46">
        <v>7</v>
      </c>
      <c r="F46" t="b">
        <v>1</v>
      </c>
      <c r="G46">
        <v>5</v>
      </c>
      <c r="H46">
        <v>1</v>
      </c>
      <c r="I46">
        <v>3</v>
      </c>
    </row>
    <row r="47" spans="4:9" x14ac:dyDescent="0.25">
      <c r="D47" t="b">
        <v>0</v>
      </c>
      <c r="E47">
        <v>7</v>
      </c>
      <c r="F47" t="b">
        <v>1</v>
      </c>
      <c r="G47">
        <v>4</v>
      </c>
      <c r="H47">
        <v>0</v>
      </c>
      <c r="I47">
        <v>4</v>
      </c>
    </row>
    <row r="48" spans="4:9" x14ac:dyDescent="0.25">
      <c r="D48" t="b">
        <v>1</v>
      </c>
      <c r="E48">
        <v>7</v>
      </c>
      <c r="F48" t="b">
        <v>1</v>
      </c>
      <c r="G48">
        <v>4</v>
      </c>
      <c r="H48">
        <v>0</v>
      </c>
      <c r="I48">
        <v>4</v>
      </c>
    </row>
    <row r="49" spans="4:9" x14ac:dyDescent="0.25">
      <c r="D49" t="b">
        <v>1</v>
      </c>
      <c r="E49">
        <v>7</v>
      </c>
      <c r="F49" t="b">
        <v>1</v>
      </c>
      <c r="G49">
        <v>3</v>
      </c>
      <c r="H49">
        <v>0</v>
      </c>
      <c r="I49">
        <v>2</v>
      </c>
    </row>
    <row r="50" spans="4:9" x14ac:dyDescent="0.25">
      <c r="D50" t="b">
        <v>0</v>
      </c>
      <c r="E50">
        <v>7</v>
      </c>
      <c r="F50" t="b">
        <v>1</v>
      </c>
      <c r="G50">
        <v>5</v>
      </c>
      <c r="H50">
        <v>1</v>
      </c>
      <c r="I50">
        <v>4</v>
      </c>
    </row>
    <row r="51" spans="4:9" x14ac:dyDescent="0.25">
      <c r="D51" t="b">
        <v>1</v>
      </c>
      <c r="E51">
        <v>7</v>
      </c>
      <c r="F51" t="b">
        <v>1</v>
      </c>
      <c r="G51">
        <v>3</v>
      </c>
      <c r="H51">
        <v>1</v>
      </c>
      <c r="I51">
        <v>2</v>
      </c>
    </row>
    <row r="52" spans="4:9" x14ac:dyDescent="0.25">
      <c r="D52" t="b">
        <v>0</v>
      </c>
      <c r="E52">
        <v>7</v>
      </c>
      <c r="F52" t="b">
        <v>1</v>
      </c>
      <c r="G52">
        <v>4</v>
      </c>
      <c r="H52">
        <v>1</v>
      </c>
      <c r="I52">
        <v>4</v>
      </c>
    </row>
    <row r="53" spans="4:9" x14ac:dyDescent="0.25">
      <c r="D53" t="b">
        <v>0</v>
      </c>
      <c r="E53">
        <v>7</v>
      </c>
      <c r="F53" t="b">
        <v>0</v>
      </c>
      <c r="G53">
        <v>2</v>
      </c>
      <c r="H53">
        <v>0</v>
      </c>
      <c r="I53">
        <v>1</v>
      </c>
    </row>
    <row r="54" spans="4:9" x14ac:dyDescent="0.25">
      <c r="D54" t="b">
        <v>1</v>
      </c>
      <c r="E54">
        <v>7</v>
      </c>
      <c r="F54" t="b">
        <v>1</v>
      </c>
      <c r="G54">
        <v>5</v>
      </c>
      <c r="H54">
        <v>0</v>
      </c>
      <c r="I54">
        <v>3</v>
      </c>
    </row>
    <row r="55" spans="4:9" x14ac:dyDescent="0.25">
      <c r="D55" t="b">
        <v>0</v>
      </c>
      <c r="E55">
        <v>7</v>
      </c>
      <c r="F55" t="b">
        <v>1</v>
      </c>
      <c r="G55">
        <v>2</v>
      </c>
      <c r="H55">
        <v>0</v>
      </c>
      <c r="I55">
        <v>2</v>
      </c>
    </row>
    <row r="56" spans="4:9" x14ac:dyDescent="0.25">
      <c r="D56" t="b">
        <v>0</v>
      </c>
      <c r="E56">
        <v>7</v>
      </c>
      <c r="F56" t="b">
        <v>1</v>
      </c>
      <c r="G56">
        <v>4</v>
      </c>
      <c r="H56">
        <v>1</v>
      </c>
      <c r="I56">
        <v>4</v>
      </c>
    </row>
    <row r="57" spans="4:9" x14ac:dyDescent="0.25">
      <c r="D57" t="b">
        <v>0</v>
      </c>
      <c r="E57">
        <v>6</v>
      </c>
      <c r="F57" t="b">
        <v>1</v>
      </c>
      <c r="G57">
        <v>2</v>
      </c>
      <c r="H57">
        <v>0</v>
      </c>
      <c r="I57">
        <v>2</v>
      </c>
    </row>
    <row r="58" spans="4:9" x14ac:dyDescent="0.25">
      <c r="D58" t="b">
        <v>0</v>
      </c>
      <c r="E58">
        <v>7</v>
      </c>
      <c r="F58" t="b">
        <v>0</v>
      </c>
      <c r="G58">
        <v>2</v>
      </c>
      <c r="H58">
        <v>1</v>
      </c>
      <c r="I58">
        <v>1</v>
      </c>
    </row>
    <row r="59" spans="4:9" x14ac:dyDescent="0.25">
      <c r="D59" t="b">
        <v>0</v>
      </c>
      <c r="E59">
        <v>7</v>
      </c>
      <c r="F59" t="b">
        <v>1</v>
      </c>
      <c r="G59">
        <v>3</v>
      </c>
      <c r="H59">
        <v>0</v>
      </c>
      <c r="I59">
        <v>3</v>
      </c>
    </row>
    <row r="60" spans="4:9" x14ac:dyDescent="0.25">
      <c r="D60" t="b">
        <v>1</v>
      </c>
      <c r="E60">
        <v>7</v>
      </c>
      <c r="F60" t="b">
        <v>1</v>
      </c>
      <c r="G60">
        <v>4</v>
      </c>
      <c r="H60">
        <v>0</v>
      </c>
      <c r="I60">
        <v>3</v>
      </c>
    </row>
    <row r="61" spans="4:9" x14ac:dyDescent="0.25">
      <c r="D61" t="b">
        <v>1</v>
      </c>
      <c r="E61">
        <v>7</v>
      </c>
      <c r="F61" t="b">
        <v>1</v>
      </c>
      <c r="G61">
        <v>3</v>
      </c>
      <c r="H61">
        <v>0</v>
      </c>
      <c r="I61">
        <v>3</v>
      </c>
    </row>
    <row r="62" spans="4:9" x14ac:dyDescent="0.25">
      <c r="D62" t="b">
        <v>0</v>
      </c>
      <c r="E62">
        <v>7</v>
      </c>
      <c r="F62" t="b">
        <v>1</v>
      </c>
      <c r="G62">
        <v>4</v>
      </c>
      <c r="H62">
        <v>0</v>
      </c>
      <c r="I62">
        <v>2</v>
      </c>
    </row>
    <row r="63" spans="4:9" x14ac:dyDescent="0.25">
      <c r="D63" t="b">
        <v>0</v>
      </c>
      <c r="E63">
        <v>7</v>
      </c>
      <c r="F63" t="b">
        <v>1</v>
      </c>
      <c r="G63">
        <v>4</v>
      </c>
      <c r="H63">
        <v>0</v>
      </c>
      <c r="I63">
        <v>3</v>
      </c>
    </row>
    <row r="64" spans="4:9" x14ac:dyDescent="0.25">
      <c r="D64" t="b">
        <v>0</v>
      </c>
      <c r="E64">
        <v>7</v>
      </c>
      <c r="F64" t="b">
        <v>1</v>
      </c>
      <c r="G64">
        <v>4</v>
      </c>
      <c r="H64">
        <v>0</v>
      </c>
      <c r="I64">
        <v>2</v>
      </c>
    </row>
    <row r="65" spans="4:9" x14ac:dyDescent="0.25">
      <c r="D65" t="b">
        <v>0</v>
      </c>
      <c r="E65">
        <v>7</v>
      </c>
      <c r="F65" t="b">
        <v>0</v>
      </c>
      <c r="G65">
        <v>2</v>
      </c>
      <c r="H65">
        <v>1</v>
      </c>
      <c r="I65">
        <v>1</v>
      </c>
    </row>
    <row r="66" spans="4:9" x14ac:dyDescent="0.25">
      <c r="D66" t="b">
        <v>1</v>
      </c>
      <c r="E66">
        <v>7</v>
      </c>
      <c r="F66" t="b">
        <v>1</v>
      </c>
      <c r="G66">
        <v>4</v>
      </c>
      <c r="H66">
        <v>0</v>
      </c>
      <c r="I66">
        <v>3</v>
      </c>
    </row>
    <row r="67" spans="4:9" x14ac:dyDescent="0.25">
      <c r="D67" t="b">
        <v>0</v>
      </c>
      <c r="E67">
        <v>6</v>
      </c>
      <c r="F67" t="b">
        <v>1</v>
      </c>
      <c r="G67">
        <v>2</v>
      </c>
      <c r="H67">
        <v>0</v>
      </c>
      <c r="I67">
        <v>2</v>
      </c>
    </row>
    <row r="68" spans="4:9" x14ac:dyDescent="0.25">
      <c r="D68" t="b">
        <v>0</v>
      </c>
      <c r="E68">
        <v>7</v>
      </c>
      <c r="F68" t="b">
        <v>0</v>
      </c>
      <c r="G68">
        <v>2</v>
      </c>
      <c r="H68">
        <v>0</v>
      </c>
      <c r="I68">
        <v>1</v>
      </c>
    </row>
    <row r="69" spans="4:9" x14ac:dyDescent="0.25">
      <c r="D69" t="b">
        <v>1</v>
      </c>
      <c r="E69">
        <v>7</v>
      </c>
      <c r="F69" t="b">
        <v>1</v>
      </c>
      <c r="G69">
        <v>3</v>
      </c>
      <c r="H69">
        <v>0</v>
      </c>
      <c r="I69">
        <v>3</v>
      </c>
    </row>
    <row r="70" spans="4:9" x14ac:dyDescent="0.25">
      <c r="D70" t="b">
        <v>0</v>
      </c>
      <c r="E70">
        <v>7</v>
      </c>
      <c r="F70" t="b">
        <v>1</v>
      </c>
      <c r="G70">
        <v>5</v>
      </c>
      <c r="H70">
        <v>0</v>
      </c>
      <c r="I70">
        <v>4</v>
      </c>
    </row>
    <row r="71" spans="4:9" x14ac:dyDescent="0.25">
      <c r="D71" t="b">
        <v>1</v>
      </c>
      <c r="E71">
        <v>7</v>
      </c>
      <c r="F71" t="b">
        <v>0</v>
      </c>
      <c r="G71">
        <v>2</v>
      </c>
      <c r="H71">
        <v>0</v>
      </c>
      <c r="I71">
        <v>1</v>
      </c>
    </row>
    <row r="72" spans="4:9" x14ac:dyDescent="0.25">
      <c r="D72" t="b">
        <v>1</v>
      </c>
      <c r="E72">
        <v>7</v>
      </c>
      <c r="F72" t="b">
        <v>1</v>
      </c>
      <c r="G72">
        <v>5</v>
      </c>
      <c r="H72">
        <v>0</v>
      </c>
      <c r="I72">
        <v>4</v>
      </c>
    </row>
    <row r="73" spans="4:9" x14ac:dyDescent="0.25">
      <c r="D73" t="b">
        <v>1</v>
      </c>
      <c r="E73">
        <v>7</v>
      </c>
      <c r="F73" t="b">
        <v>1</v>
      </c>
      <c r="G73">
        <v>3</v>
      </c>
      <c r="H73">
        <v>1</v>
      </c>
      <c r="I73">
        <v>2</v>
      </c>
    </row>
    <row r="74" spans="4:9" x14ac:dyDescent="0.25">
      <c r="D74" t="b">
        <v>0</v>
      </c>
      <c r="E74">
        <v>7</v>
      </c>
      <c r="F74" t="b">
        <v>1</v>
      </c>
      <c r="G74">
        <v>3</v>
      </c>
      <c r="H74">
        <v>0</v>
      </c>
      <c r="I74">
        <v>2</v>
      </c>
    </row>
    <row r="75" spans="4:9" x14ac:dyDescent="0.25">
      <c r="D75" t="b">
        <v>0</v>
      </c>
      <c r="E75">
        <v>6</v>
      </c>
      <c r="F75" t="b">
        <v>1</v>
      </c>
      <c r="G75">
        <v>3</v>
      </c>
      <c r="H75">
        <v>0</v>
      </c>
      <c r="I75">
        <v>3</v>
      </c>
    </row>
    <row r="76" spans="4:9" x14ac:dyDescent="0.25">
      <c r="D76" t="b">
        <v>1</v>
      </c>
      <c r="E76">
        <v>6</v>
      </c>
      <c r="F76" t="b">
        <v>0</v>
      </c>
      <c r="G76">
        <v>2</v>
      </c>
      <c r="H76">
        <v>0</v>
      </c>
      <c r="I76">
        <v>2</v>
      </c>
    </row>
    <row r="77" spans="4:9" x14ac:dyDescent="0.25">
      <c r="D77" t="b">
        <v>0</v>
      </c>
      <c r="E77">
        <v>7</v>
      </c>
      <c r="F77" t="b">
        <v>1</v>
      </c>
      <c r="G77">
        <v>4</v>
      </c>
      <c r="H77">
        <v>1</v>
      </c>
      <c r="I77">
        <v>3</v>
      </c>
    </row>
    <row r="78" spans="4:9" x14ac:dyDescent="0.25">
      <c r="D78" t="b">
        <v>1</v>
      </c>
      <c r="E78">
        <v>7</v>
      </c>
      <c r="F78" t="b">
        <v>1</v>
      </c>
      <c r="G78">
        <v>3</v>
      </c>
      <c r="H78">
        <v>0</v>
      </c>
      <c r="I78">
        <v>2</v>
      </c>
    </row>
    <row r="79" spans="4:9" x14ac:dyDescent="0.25">
      <c r="D79" t="b">
        <v>1</v>
      </c>
      <c r="E79">
        <v>7</v>
      </c>
      <c r="F79" t="b">
        <v>1</v>
      </c>
      <c r="G79">
        <v>4</v>
      </c>
      <c r="H79">
        <v>0</v>
      </c>
      <c r="I79">
        <v>4</v>
      </c>
    </row>
    <row r="80" spans="4:9" x14ac:dyDescent="0.25">
      <c r="D80" t="b">
        <v>1</v>
      </c>
      <c r="E80">
        <v>7</v>
      </c>
      <c r="F80" t="b">
        <v>1</v>
      </c>
      <c r="G80">
        <v>5</v>
      </c>
      <c r="H80">
        <v>0</v>
      </c>
      <c r="I80">
        <v>4</v>
      </c>
    </row>
    <row r="81" spans="4:9" x14ac:dyDescent="0.25">
      <c r="D81" t="b">
        <v>0</v>
      </c>
      <c r="E81">
        <v>7</v>
      </c>
      <c r="F81" t="b">
        <v>1</v>
      </c>
      <c r="G81">
        <v>4</v>
      </c>
      <c r="H81">
        <v>1</v>
      </c>
      <c r="I81">
        <v>3</v>
      </c>
    </row>
    <row r="82" spans="4:9" x14ac:dyDescent="0.25">
      <c r="D82" t="b">
        <v>0</v>
      </c>
      <c r="E82">
        <v>7</v>
      </c>
      <c r="F82" t="b">
        <v>1</v>
      </c>
      <c r="G82">
        <v>3</v>
      </c>
      <c r="H82">
        <v>0</v>
      </c>
      <c r="I82">
        <v>1</v>
      </c>
    </row>
    <row r="83" spans="4:9" x14ac:dyDescent="0.25">
      <c r="D83" t="b">
        <v>1</v>
      </c>
      <c r="E83">
        <v>6</v>
      </c>
      <c r="F83" t="b">
        <v>1</v>
      </c>
      <c r="G83">
        <v>4</v>
      </c>
      <c r="H83">
        <v>0</v>
      </c>
      <c r="I83">
        <v>3</v>
      </c>
    </row>
    <row r="84" spans="4:9" x14ac:dyDescent="0.25">
      <c r="D84" t="b">
        <v>1</v>
      </c>
      <c r="E84">
        <v>7</v>
      </c>
      <c r="F84" t="b">
        <v>1</v>
      </c>
      <c r="G84">
        <v>4</v>
      </c>
      <c r="H84">
        <v>0</v>
      </c>
      <c r="I84">
        <v>4</v>
      </c>
    </row>
    <row r="85" spans="4:9" x14ac:dyDescent="0.25">
      <c r="D85" t="b">
        <v>0</v>
      </c>
      <c r="E85">
        <v>7</v>
      </c>
      <c r="F85" t="b">
        <v>1</v>
      </c>
      <c r="G85">
        <v>3</v>
      </c>
      <c r="H85">
        <v>0</v>
      </c>
      <c r="I85">
        <v>2</v>
      </c>
    </row>
    <row r="86" spans="4:9" x14ac:dyDescent="0.25">
      <c r="D86" t="b">
        <v>1</v>
      </c>
      <c r="E86">
        <v>5</v>
      </c>
      <c r="F86" t="b">
        <v>1</v>
      </c>
      <c r="G86">
        <v>2</v>
      </c>
      <c r="H86">
        <v>0</v>
      </c>
      <c r="I86">
        <v>2</v>
      </c>
    </row>
    <row r="87" spans="4:9" x14ac:dyDescent="0.25">
      <c r="D87" t="b">
        <v>1</v>
      </c>
      <c r="E87">
        <v>7</v>
      </c>
      <c r="F87" t="b">
        <v>1</v>
      </c>
      <c r="G87">
        <v>2</v>
      </c>
      <c r="H87">
        <v>0</v>
      </c>
      <c r="I87">
        <v>2</v>
      </c>
    </row>
    <row r="88" spans="4:9" x14ac:dyDescent="0.25">
      <c r="D88" t="b">
        <v>0</v>
      </c>
      <c r="E88">
        <v>7</v>
      </c>
      <c r="F88" t="b">
        <v>1</v>
      </c>
      <c r="G88">
        <v>3</v>
      </c>
      <c r="H88">
        <v>1</v>
      </c>
      <c r="I88">
        <v>2</v>
      </c>
    </row>
    <row r="89" spans="4:9" x14ac:dyDescent="0.25">
      <c r="D89" t="b">
        <v>1</v>
      </c>
      <c r="E89">
        <v>7</v>
      </c>
      <c r="F89" t="b">
        <v>1</v>
      </c>
      <c r="G89">
        <v>5</v>
      </c>
      <c r="H89">
        <v>1</v>
      </c>
      <c r="I89">
        <v>3</v>
      </c>
    </row>
    <row r="90" spans="4:9" x14ac:dyDescent="0.25">
      <c r="D90" t="b">
        <v>0</v>
      </c>
      <c r="E90">
        <v>7</v>
      </c>
      <c r="F90" t="b">
        <v>0</v>
      </c>
      <c r="G90">
        <v>3</v>
      </c>
      <c r="H90">
        <v>1</v>
      </c>
      <c r="I90">
        <v>1</v>
      </c>
    </row>
    <row r="91" spans="4:9" x14ac:dyDescent="0.25">
      <c r="D91" t="b">
        <v>1</v>
      </c>
      <c r="E91">
        <v>7</v>
      </c>
      <c r="F91" t="b">
        <v>1</v>
      </c>
      <c r="G91">
        <v>3</v>
      </c>
      <c r="H91">
        <v>1</v>
      </c>
      <c r="I91">
        <v>2</v>
      </c>
    </row>
    <row r="92" spans="4:9" x14ac:dyDescent="0.25">
      <c r="D92" t="b">
        <v>1</v>
      </c>
      <c r="E92">
        <v>7</v>
      </c>
      <c r="F92" t="b">
        <v>1</v>
      </c>
      <c r="G92">
        <v>3</v>
      </c>
      <c r="H92">
        <v>2</v>
      </c>
      <c r="I92">
        <v>2</v>
      </c>
    </row>
    <row r="93" spans="4:9" x14ac:dyDescent="0.25">
      <c r="D93" t="b">
        <v>0</v>
      </c>
      <c r="E93">
        <v>6</v>
      </c>
      <c r="F93" t="b">
        <v>1</v>
      </c>
      <c r="G93">
        <v>2</v>
      </c>
      <c r="H93">
        <v>1</v>
      </c>
      <c r="I93">
        <v>2</v>
      </c>
    </row>
    <row r="94" spans="4:9" x14ac:dyDescent="0.25">
      <c r="D94" t="b">
        <v>1</v>
      </c>
      <c r="E94">
        <v>7</v>
      </c>
      <c r="F94" t="b">
        <v>0</v>
      </c>
      <c r="G94">
        <v>2</v>
      </c>
      <c r="H94">
        <v>0</v>
      </c>
      <c r="I94">
        <v>1</v>
      </c>
    </row>
    <row r="95" spans="4:9" x14ac:dyDescent="0.25">
      <c r="D95" t="b">
        <v>0</v>
      </c>
      <c r="E95">
        <v>7</v>
      </c>
      <c r="F95" t="b">
        <v>1</v>
      </c>
      <c r="G95">
        <v>4</v>
      </c>
      <c r="H95">
        <v>1</v>
      </c>
      <c r="I95">
        <v>3</v>
      </c>
    </row>
    <row r="96" spans="4:9" x14ac:dyDescent="0.25">
      <c r="D96" t="b">
        <v>0</v>
      </c>
      <c r="E96">
        <v>7</v>
      </c>
      <c r="F96" t="b">
        <v>0</v>
      </c>
      <c r="G96">
        <v>4</v>
      </c>
      <c r="H96">
        <v>0</v>
      </c>
      <c r="I96">
        <v>2</v>
      </c>
    </row>
    <row r="97" spans="4:9" x14ac:dyDescent="0.25">
      <c r="D97" t="b">
        <v>1</v>
      </c>
      <c r="E97">
        <v>6</v>
      </c>
      <c r="F97" t="b">
        <v>1</v>
      </c>
      <c r="G97">
        <v>3</v>
      </c>
      <c r="H97">
        <v>1</v>
      </c>
      <c r="I97">
        <v>3</v>
      </c>
    </row>
    <row r="98" spans="4:9" x14ac:dyDescent="0.25">
      <c r="D98" t="b">
        <v>1</v>
      </c>
      <c r="E98">
        <v>6</v>
      </c>
      <c r="F98" t="b">
        <v>1</v>
      </c>
      <c r="G98">
        <v>4</v>
      </c>
      <c r="H98">
        <v>0</v>
      </c>
      <c r="I98">
        <v>4</v>
      </c>
    </row>
    <row r="99" spans="4:9" x14ac:dyDescent="0.25">
      <c r="D99" t="b">
        <v>0</v>
      </c>
      <c r="E99">
        <v>6</v>
      </c>
      <c r="F99" t="b">
        <v>1</v>
      </c>
      <c r="G99">
        <v>2</v>
      </c>
      <c r="H99">
        <v>0</v>
      </c>
      <c r="I99">
        <v>2</v>
      </c>
    </row>
    <row r="100" spans="4:9" x14ac:dyDescent="0.25">
      <c r="D100" t="b">
        <v>0</v>
      </c>
      <c r="E100">
        <v>7</v>
      </c>
      <c r="F100" t="b">
        <v>0</v>
      </c>
      <c r="G100">
        <v>2</v>
      </c>
      <c r="H100">
        <v>0</v>
      </c>
      <c r="I100">
        <v>2</v>
      </c>
    </row>
    <row r="101" spans="4:9" x14ac:dyDescent="0.25">
      <c r="D101" t="b">
        <v>1</v>
      </c>
      <c r="E101">
        <v>7</v>
      </c>
      <c r="F101" t="b">
        <v>0</v>
      </c>
      <c r="G101">
        <v>3</v>
      </c>
      <c r="H101">
        <v>1</v>
      </c>
      <c r="I101">
        <v>2</v>
      </c>
    </row>
    <row r="102" spans="4:9" x14ac:dyDescent="0.25">
      <c r="D102" t="b">
        <v>1</v>
      </c>
      <c r="E102">
        <v>7</v>
      </c>
      <c r="F102" t="b">
        <v>1</v>
      </c>
      <c r="G102">
        <v>3</v>
      </c>
      <c r="H102">
        <v>0</v>
      </c>
      <c r="I102">
        <v>2</v>
      </c>
    </row>
    <row r="103" spans="4:9" x14ac:dyDescent="0.25">
      <c r="D103" t="b">
        <v>1</v>
      </c>
      <c r="E103">
        <v>7</v>
      </c>
      <c r="F103" t="b">
        <v>1</v>
      </c>
      <c r="G103">
        <v>3</v>
      </c>
      <c r="H103">
        <v>0</v>
      </c>
      <c r="I103">
        <v>2</v>
      </c>
    </row>
    <row r="104" spans="4:9" x14ac:dyDescent="0.25">
      <c r="D104" t="b">
        <v>1</v>
      </c>
      <c r="E104">
        <v>6</v>
      </c>
      <c r="F104" t="b">
        <v>0</v>
      </c>
      <c r="G104">
        <v>3</v>
      </c>
      <c r="H104">
        <v>1</v>
      </c>
      <c r="I104">
        <v>2</v>
      </c>
    </row>
    <row r="105" spans="4:9" x14ac:dyDescent="0.25">
      <c r="D105" t="b">
        <v>1</v>
      </c>
      <c r="E105">
        <v>7</v>
      </c>
      <c r="F105" t="b">
        <v>1</v>
      </c>
      <c r="G105">
        <v>3</v>
      </c>
      <c r="H105">
        <v>0</v>
      </c>
      <c r="I105">
        <v>3</v>
      </c>
    </row>
    <row r="106" spans="4:9" x14ac:dyDescent="0.25">
      <c r="D106" t="b">
        <v>0</v>
      </c>
      <c r="E106">
        <v>7</v>
      </c>
      <c r="F106" t="b">
        <v>1</v>
      </c>
      <c r="G106">
        <v>3</v>
      </c>
      <c r="H106">
        <v>1</v>
      </c>
      <c r="I106">
        <v>3</v>
      </c>
    </row>
    <row r="107" spans="4:9" x14ac:dyDescent="0.25">
      <c r="D107" t="b">
        <v>1</v>
      </c>
      <c r="E107">
        <v>7</v>
      </c>
      <c r="F107" t="b">
        <v>1</v>
      </c>
      <c r="G107">
        <v>3</v>
      </c>
      <c r="H107">
        <v>1</v>
      </c>
      <c r="I107">
        <v>2</v>
      </c>
    </row>
    <row r="108" spans="4:9" x14ac:dyDescent="0.25">
      <c r="D108" t="b">
        <v>1</v>
      </c>
      <c r="E108">
        <v>7</v>
      </c>
      <c r="F108" t="b">
        <v>0</v>
      </c>
      <c r="G108">
        <v>3</v>
      </c>
      <c r="H108">
        <v>0</v>
      </c>
      <c r="I108">
        <v>2</v>
      </c>
    </row>
    <row r="109" spans="4:9" x14ac:dyDescent="0.25">
      <c r="D109" t="b">
        <v>0</v>
      </c>
      <c r="E109">
        <v>6</v>
      </c>
      <c r="F109" t="b">
        <v>1</v>
      </c>
      <c r="G109">
        <v>3</v>
      </c>
      <c r="H109">
        <v>0</v>
      </c>
      <c r="I109">
        <v>2</v>
      </c>
    </row>
    <row r="110" spans="4:9" x14ac:dyDescent="0.25">
      <c r="D110" t="b">
        <v>1</v>
      </c>
      <c r="E110">
        <v>6</v>
      </c>
      <c r="F110" t="b">
        <v>1</v>
      </c>
      <c r="G110">
        <v>4</v>
      </c>
      <c r="H110">
        <v>0</v>
      </c>
      <c r="I110">
        <v>3</v>
      </c>
    </row>
    <row r="111" spans="4:9" x14ac:dyDescent="0.25">
      <c r="D111" t="b">
        <v>0</v>
      </c>
      <c r="E111">
        <v>6</v>
      </c>
      <c r="F111" t="b">
        <v>1</v>
      </c>
      <c r="G111">
        <v>4</v>
      </c>
      <c r="H111">
        <v>1</v>
      </c>
      <c r="I111">
        <v>4</v>
      </c>
    </row>
    <row r="112" spans="4:9" x14ac:dyDescent="0.25">
      <c r="D112" t="b">
        <v>1</v>
      </c>
      <c r="E112">
        <v>5</v>
      </c>
      <c r="F112" t="b">
        <v>1</v>
      </c>
      <c r="G112">
        <v>3</v>
      </c>
      <c r="H112">
        <v>1</v>
      </c>
      <c r="I112">
        <v>3</v>
      </c>
    </row>
    <row r="113" spans="4:9" x14ac:dyDescent="0.25">
      <c r="D113" t="b">
        <v>1</v>
      </c>
      <c r="E113">
        <v>7</v>
      </c>
      <c r="F113" t="b">
        <v>0</v>
      </c>
      <c r="G113">
        <v>3</v>
      </c>
      <c r="H113">
        <v>0</v>
      </c>
      <c r="I113">
        <v>2</v>
      </c>
    </row>
    <row r="114" spans="4:9" x14ac:dyDescent="0.25">
      <c r="D114" t="b">
        <v>0</v>
      </c>
      <c r="E114">
        <v>7</v>
      </c>
      <c r="F114" t="b">
        <v>0</v>
      </c>
      <c r="G114">
        <v>2</v>
      </c>
      <c r="H114">
        <v>0</v>
      </c>
      <c r="I114">
        <v>2</v>
      </c>
    </row>
    <row r="115" spans="4:9" x14ac:dyDescent="0.25">
      <c r="D115" t="b">
        <v>1</v>
      </c>
      <c r="E115">
        <v>7</v>
      </c>
      <c r="F115" t="b">
        <v>0</v>
      </c>
      <c r="G115">
        <v>3</v>
      </c>
      <c r="H115">
        <v>0</v>
      </c>
      <c r="I115">
        <v>1</v>
      </c>
    </row>
    <row r="116" spans="4:9" x14ac:dyDescent="0.25">
      <c r="D116" t="b">
        <v>0</v>
      </c>
      <c r="E116">
        <v>6</v>
      </c>
      <c r="F116" t="b">
        <v>1</v>
      </c>
      <c r="G116">
        <v>2</v>
      </c>
      <c r="H116">
        <v>1</v>
      </c>
      <c r="I116">
        <v>2</v>
      </c>
    </row>
    <row r="117" spans="4:9" x14ac:dyDescent="0.25">
      <c r="D117" t="b">
        <v>0</v>
      </c>
      <c r="E117">
        <v>7</v>
      </c>
      <c r="F117" t="b">
        <v>1</v>
      </c>
      <c r="G117">
        <v>4</v>
      </c>
      <c r="H117">
        <v>1</v>
      </c>
      <c r="I117">
        <v>1</v>
      </c>
    </row>
    <row r="118" spans="4:9" x14ac:dyDescent="0.25">
      <c r="D118" t="b">
        <v>1</v>
      </c>
      <c r="E118">
        <v>7</v>
      </c>
      <c r="F118" t="b">
        <v>0</v>
      </c>
      <c r="G118">
        <v>2</v>
      </c>
      <c r="H118">
        <v>0</v>
      </c>
      <c r="I118">
        <v>1</v>
      </c>
    </row>
    <row r="119" spans="4:9" x14ac:dyDescent="0.25">
      <c r="D119" t="b">
        <v>0</v>
      </c>
      <c r="E119">
        <v>7</v>
      </c>
      <c r="F119" t="b">
        <v>0</v>
      </c>
      <c r="G119">
        <v>3</v>
      </c>
      <c r="H119">
        <v>0</v>
      </c>
      <c r="I119">
        <v>1</v>
      </c>
    </row>
    <row r="120" spans="4:9" x14ac:dyDescent="0.25">
      <c r="D120" t="b">
        <v>0</v>
      </c>
      <c r="E120">
        <v>7</v>
      </c>
      <c r="F120" t="b">
        <v>1</v>
      </c>
      <c r="G120">
        <v>2</v>
      </c>
      <c r="H120">
        <v>1</v>
      </c>
      <c r="I120">
        <v>2</v>
      </c>
    </row>
    <row r="121" spans="4:9" x14ac:dyDescent="0.25">
      <c r="D121" t="b">
        <v>0</v>
      </c>
      <c r="E121">
        <v>7</v>
      </c>
      <c r="F121" t="b">
        <v>1</v>
      </c>
      <c r="G121">
        <v>4</v>
      </c>
      <c r="H121">
        <v>0</v>
      </c>
      <c r="I121">
        <v>3</v>
      </c>
    </row>
    <row r="122" spans="4:9" x14ac:dyDescent="0.25">
      <c r="D122" t="b">
        <v>0</v>
      </c>
      <c r="E122">
        <v>7</v>
      </c>
      <c r="F122" t="b">
        <v>1</v>
      </c>
      <c r="G122">
        <v>4</v>
      </c>
      <c r="H122">
        <v>0</v>
      </c>
      <c r="I122">
        <v>3</v>
      </c>
    </row>
    <row r="123" spans="4:9" x14ac:dyDescent="0.25">
      <c r="D123" t="b">
        <v>0</v>
      </c>
      <c r="E123">
        <v>6</v>
      </c>
      <c r="F123" t="b">
        <v>1</v>
      </c>
      <c r="G123">
        <v>5</v>
      </c>
      <c r="H123">
        <v>0</v>
      </c>
      <c r="I123">
        <v>4</v>
      </c>
    </row>
    <row r="124" spans="4:9" x14ac:dyDescent="0.25">
      <c r="D124" t="b">
        <v>1</v>
      </c>
      <c r="E124">
        <v>7</v>
      </c>
      <c r="F124" t="b">
        <v>0</v>
      </c>
      <c r="G124">
        <v>3</v>
      </c>
      <c r="H124">
        <v>0</v>
      </c>
      <c r="I124">
        <v>2</v>
      </c>
    </row>
    <row r="125" spans="4:9" x14ac:dyDescent="0.25">
      <c r="D125" t="b">
        <v>1</v>
      </c>
      <c r="E125">
        <v>6</v>
      </c>
      <c r="F125" t="b">
        <v>1</v>
      </c>
      <c r="G125">
        <v>3</v>
      </c>
      <c r="H125">
        <v>0</v>
      </c>
      <c r="I125">
        <v>3</v>
      </c>
    </row>
    <row r="126" spans="4:9" x14ac:dyDescent="0.25">
      <c r="D126" t="b">
        <v>0</v>
      </c>
      <c r="E126">
        <v>5</v>
      </c>
      <c r="F126" t="b">
        <v>0</v>
      </c>
      <c r="G126">
        <v>1</v>
      </c>
      <c r="H126">
        <v>0</v>
      </c>
      <c r="I126">
        <v>1</v>
      </c>
    </row>
    <row r="127" spans="4:9" x14ac:dyDescent="0.25">
      <c r="D127" t="b">
        <v>0</v>
      </c>
      <c r="E127">
        <v>7</v>
      </c>
      <c r="F127" t="b">
        <v>1</v>
      </c>
      <c r="G127">
        <v>3</v>
      </c>
      <c r="H127">
        <v>0</v>
      </c>
      <c r="I127">
        <v>3</v>
      </c>
    </row>
    <row r="128" spans="4:9" x14ac:dyDescent="0.25">
      <c r="D128" t="b">
        <v>0</v>
      </c>
      <c r="E128">
        <v>7</v>
      </c>
      <c r="F128" t="b">
        <v>1</v>
      </c>
      <c r="G128">
        <v>2</v>
      </c>
      <c r="H128">
        <v>0</v>
      </c>
      <c r="I128">
        <v>2</v>
      </c>
    </row>
    <row r="129" spans="4:9" x14ac:dyDescent="0.25">
      <c r="D129" t="b">
        <v>0</v>
      </c>
      <c r="E129">
        <v>7</v>
      </c>
      <c r="F129" t="b">
        <v>1</v>
      </c>
      <c r="G129">
        <v>3</v>
      </c>
      <c r="H129">
        <v>0</v>
      </c>
      <c r="I129">
        <v>3</v>
      </c>
    </row>
    <row r="130" spans="4:9" x14ac:dyDescent="0.25">
      <c r="D130" t="b">
        <v>1</v>
      </c>
      <c r="E130">
        <v>7</v>
      </c>
      <c r="F130" t="b">
        <v>1</v>
      </c>
      <c r="G130">
        <v>2</v>
      </c>
      <c r="H130">
        <v>1</v>
      </c>
      <c r="I130">
        <v>2</v>
      </c>
    </row>
    <row r="131" spans="4:9" x14ac:dyDescent="0.25">
      <c r="D131" t="b">
        <v>0</v>
      </c>
      <c r="E131">
        <v>7</v>
      </c>
      <c r="F131" t="b">
        <v>1</v>
      </c>
      <c r="G131">
        <v>3</v>
      </c>
      <c r="H131">
        <v>0</v>
      </c>
      <c r="I131">
        <v>2</v>
      </c>
    </row>
    <row r="132" spans="4:9" x14ac:dyDescent="0.25">
      <c r="D132" t="b">
        <v>0</v>
      </c>
      <c r="E132">
        <v>7</v>
      </c>
      <c r="F132" t="b">
        <v>1</v>
      </c>
      <c r="G132">
        <v>2</v>
      </c>
      <c r="H132">
        <v>0</v>
      </c>
      <c r="I132">
        <v>1</v>
      </c>
    </row>
    <row r="133" spans="4:9" x14ac:dyDescent="0.25">
      <c r="D133" t="b">
        <v>1</v>
      </c>
      <c r="E133">
        <v>6</v>
      </c>
      <c r="F133" t="b">
        <v>0</v>
      </c>
      <c r="G133">
        <v>2</v>
      </c>
      <c r="H133">
        <v>0</v>
      </c>
      <c r="I133">
        <v>2</v>
      </c>
    </row>
    <row r="134" spans="4:9" x14ac:dyDescent="0.25">
      <c r="D134" t="b">
        <v>0</v>
      </c>
      <c r="E134">
        <v>7</v>
      </c>
      <c r="F134" t="b">
        <v>1</v>
      </c>
      <c r="G134">
        <v>4</v>
      </c>
      <c r="H134">
        <v>0</v>
      </c>
      <c r="I134">
        <v>3</v>
      </c>
    </row>
    <row r="135" spans="4:9" x14ac:dyDescent="0.25">
      <c r="D135" t="b">
        <v>1</v>
      </c>
      <c r="E135">
        <v>7</v>
      </c>
      <c r="F135" t="b">
        <v>1</v>
      </c>
      <c r="G135">
        <v>4</v>
      </c>
      <c r="H135">
        <v>0</v>
      </c>
      <c r="I135">
        <v>2</v>
      </c>
    </row>
    <row r="136" spans="4:9" x14ac:dyDescent="0.25">
      <c r="D136" t="b">
        <v>0</v>
      </c>
      <c r="E136">
        <v>6</v>
      </c>
      <c r="F136" t="b">
        <v>0</v>
      </c>
      <c r="G136">
        <v>3</v>
      </c>
      <c r="H136">
        <v>2</v>
      </c>
      <c r="I136">
        <v>2</v>
      </c>
    </row>
    <row r="137" spans="4:9" x14ac:dyDescent="0.25">
      <c r="D137" t="b">
        <v>0</v>
      </c>
      <c r="E137">
        <v>7</v>
      </c>
      <c r="F137" t="b">
        <v>1</v>
      </c>
      <c r="G137">
        <v>4</v>
      </c>
      <c r="H137">
        <v>2</v>
      </c>
      <c r="I137">
        <v>4</v>
      </c>
    </row>
    <row r="138" spans="4:9" x14ac:dyDescent="0.25">
      <c r="D138" t="b">
        <v>1</v>
      </c>
      <c r="E138">
        <v>7</v>
      </c>
      <c r="F138" t="b">
        <v>1</v>
      </c>
      <c r="G138">
        <v>5</v>
      </c>
      <c r="H138">
        <v>0</v>
      </c>
      <c r="I138">
        <v>5</v>
      </c>
    </row>
    <row r="139" spans="4:9" x14ac:dyDescent="0.25">
      <c r="D139" t="b">
        <v>0</v>
      </c>
      <c r="E139">
        <v>7</v>
      </c>
      <c r="F139" t="b">
        <v>1</v>
      </c>
      <c r="G139">
        <v>5</v>
      </c>
      <c r="H139">
        <v>1</v>
      </c>
      <c r="I139">
        <v>4</v>
      </c>
    </row>
    <row r="140" spans="4:9" x14ac:dyDescent="0.25">
      <c r="D140" t="b">
        <v>0</v>
      </c>
      <c r="E140">
        <v>7</v>
      </c>
      <c r="F140" t="b">
        <v>1</v>
      </c>
      <c r="G140">
        <v>4</v>
      </c>
      <c r="H140">
        <v>0</v>
      </c>
      <c r="I140">
        <v>3</v>
      </c>
    </row>
    <row r="141" spans="4:9" x14ac:dyDescent="0.25">
      <c r="D141" t="b">
        <v>1</v>
      </c>
      <c r="E141">
        <v>7</v>
      </c>
      <c r="F141" t="b">
        <v>1</v>
      </c>
      <c r="G141">
        <v>4</v>
      </c>
      <c r="H141">
        <v>1</v>
      </c>
      <c r="I141">
        <v>3</v>
      </c>
    </row>
    <row r="142" spans="4:9" x14ac:dyDescent="0.25">
      <c r="D142" t="b">
        <v>0</v>
      </c>
      <c r="E142">
        <v>7</v>
      </c>
      <c r="F142" t="b">
        <v>1</v>
      </c>
      <c r="G142">
        <v>3</v>
      </c>
      <c r="H142">
        <v>1</v>
      </c>
      <c r="I142">
        <v>2</v>
      </c>
    </row>
    <row r="143" spans="4:9" x14ac:dyDescent="0.25">
      <c r="D143" t="b">
        <v>1</v>
      </c>
      <c r="E143">
        <v>7</v>
      </c>
      <c r="F143" t="b">
        <v>1</v>
      </c>
      <c r="G143">
        <v>3</v>
      </c>
      <c r="H143">
        <v>0</v>
      </c>
      <c r="I143">
        <v>2</v>
      </c>
    </row>
    <row r="144" spans="4:9" x14ac:dyDescent="0.25">
      <c r="D144" t="b">
        <v>0</v>
      </c>
      <c r="E144">
        <v>5</v>
      </c>
      <c r="F144" t="b">
        <v>1</v>
      </c>
      <c r="G144">
        <v>1</v>
      </c>
      <c r="H144">
        <v>1</v>
      </c>
      <c r="I144">
        <v>1</v>
      </c>
    </row>
    <row r="145" spans="4:9" x14ac:dyDescent="0.25">
      <c r="D145" t="b">
        <v>0</v>
      </c>
      <c r="E145">
        <v>7</v>
      </c>
      <c r="F145" t="b">
        <v>1</v>
      </c>
      <c r="G145">
        <v>3</v>
      </c>
      <c r="H145">
        <v>1</v>
      </c>
      <c r="I145">
        <v>2</v>
      </c>
    </row>
    <row r="146" spans="4:9" x14ac:dyDescent="0.25">
      <c r="D146" t="b">
        <v>1</v>
      </c>
      <c r="E146">
        <v>7</v>
      </c>
      <c r="F146" t="b">
        <v>0</v>
      </c>
      <c r="G146">
        <v>3</v>
      </c>
      <c r="H146">
        <v>0</v>
      </c>
      <c r="I146">
        <v>2</v>
      </c>
    </row>
    <row r="147" spans="4:9" x14ac:dyDescent="0.25">
      <c r="D147" t="b">
        <v>1</v>
      </c>
      <c r="E147">
        <v>7</v>
      </c>
      <c r="F147" t="b">
        <v>1</v>
      </c>
      <c r="G147">
        <v>5</v>
      </c>
      <c r="H147">
        <v>0</v>
      </c>
      <c r="I147">
        <v>4</v>
      </c>
    </row>
    <row r="148" spans="4:9" x14ac:dyDescent="0.25">
      <c r="D148" t="b">
        <v>1</v>
      </c>
      <c r="E148">
        <v>7</v>
      </c>
      <c r="F148" t="b">
        <v>1</v>
      </c>
      <c r="G148">
        <v>3</v>
      </c>
      <c r="H148">
        <v>1</v>
      </c>
      <c r="I148">
        <v>3</v>
      </c>
    </row>
    <row r="149" spans="4:9" x14ac:dyDescent="0.25">
      <c r="D149" t="b">
        <v>0</v>
      </c>
      <c r="E149">
        <v>6</v>
      </c>
      <c r="F149" t="b">
        <v>0</v>
      </c>
      <c r="G149">
        <v>2</v>
      </c>
      <c r="H149">
        <v>0</v>
      </c>
      <c r="I149">
        <v>2</v>
      </c>
    </row>
    <row r="150" spans="4:9" x14ac:dyDescent="0.25">
      <c r="D150" t="b">
        <v>0</v>
      </c>
      <c r="E150">
        <v>6</v>
      </c>
      <c r="F150" t="b">
        <v>1</v>
      </c>
      <c r="G150">
        <v>3</v>
      </c>
      <c r="H150">
        <v>0</v>
      </c>
      <c r="I150">
        <v>1</v>
      </c>
    </row>
    <row r="151" spans="4:9" x14ac:dyDescent="0.25">
      <c r="D151" t="b">
        <v>1</v>
      </c>
      <c r="E151">
        <v>6</v>
      </c>
      <c r="F151" t="b">
        <v>0</v>
      </c>
      <c r="G151">
        <v>2</v>
      </c>
      <c r="H151">
        <v>0</v>
      </c>
      <c r="I151">
        <v>1</v>
      </c>
    </row>
    <row r="152" spans="4:9" x14ac:dyDescent="0.25">
      <c r="D152" t="b">
        <v>1</v>
      </c>
      <c r="E152">
        <v>7</v>
      </c>
      <c r="F152" t="b">
        <v>0</v>
      </c>
      <c r="G152">
        <v>3</v>
      </c>
      <c r="H152">
        <v>0</v>
      </c>
      <c r="I152">
        <v>2</v>
      </c>
    </row>
    <row r="153" spans="4:9" x14ac:dyDescent="0.25">
      <c r="D153" t="b">
        <v>1</v>
      </c>
      <c r="E153">
        <v>6</v>
      </c>
      <c r="F153" t="b">
        <v>1</v>
      </c>
      <c r="G153">
        <v>2</v>
      </c>
      <c r="H153">
        <v>1</v>
      </c>
      <c r="I153">
        <v>2</v>
      </c>
    </row>
    <row r="154" spans="4:9" x14ac:dyDescent="0.25">
      <c r="D154" t="b">
        <v>1</v>
      </c>
      <c r="E154">
        <v>7</v>
      </c>
      <c r="F154" t="b">
        <v>0</v>
      </c>
      <c r="G154">
        <v>4</v>
      </c>
      <c r="H154">
        <v>0</v>
      </c>
      <c r="I154">
        <v>1</v>
      </c>
    </row>
    <row r="155" spans="4:9" x14ac:dyDescent="0.25">
      <c r="D155" t="b">
        <v>0</v>
      </c>
      <c r="E155">
        <v>7</v>
      </c>
      <c r="F155" t="b">
        <v>0</v>
      </c>
      <c r="G155">
        <v>2</v>
      </c>
      <c r="H155">
        <v>0</v>
      </c>
      <c r="I155">
        <v>1</v>
      </c>
    </row>
    <row r="156" spans="4:9" x14ac:dyDescent="0.25">
      <c r="D156" t="b">
        <v>1</v>
      </c>
      <c r="E156">
        <v>7</v>
      </c>
      <c r="F156" t="b">
        <v>1</v>
      </c>
      <c r="G156">
        <v>2</v>
      </c>
      <c r="H156">
        <v>1</v>
      </c>
      <c r="I156">
        <v>1</v>
      </c>
    </row>
    <row r="157" spans="4:9" x14ac:dyDescent="0.25">
      <c r="D157" t="b">
        <v>1</v>
      </c>
      <c r="E157">
        <v>7</v>
      </c>
      <c r="F157" t="b">
        <v>0</v>
      </c>
      <c r="G157">
        <v>2</v>
      </c>
      <c r="H157">
        <v>1</v>
      </c>
      <c r="I157">
        <v>1</v>
      </c>
    </row>
    <row r="158" spans="4:9" x14ac:dyDescent="0.25">
      <c r="D158" t="b">
        <v>0</v>
      </c>
      <c r="E158">
        <v>7</v>
      </c>
      <c r="F158" t="b">
        <v>0</v>
      </c>
      <c r="G158">
        <v>2</v>
      </c>
      <c r="H158">
        <v>0</v>
      </c>
      <c r="I158">
        <v>1</v>
      </c>
    </row>
    <row r="159" spans="4:9" x14ac:dyDescent="0.25">
      <c r="D159" t="b">
        <v>1</v>
      </c>
      <c r="E159">
        <v>5</v>
      </c>
      <c r="F159" t="b">
        <v>0</v>
      </c>
      <c r="G159">
        <v>2</v>
      </c>
      <c r="H159">
        <v>0</v>
      </c>
      <c r="I159">
        <v>1</v>
      </c>
    </row>
    <row r="160" spans="4:9" x14ac:dyDescent="0.25">
      <c r="D160" t="b">
        <v>1</v>
      </c>
      <c r="E160">
        <v>6</v>
      </c>
      <c r="F160" t="b">
        <v>1</v>
      </c>
      <c r="G160">
        <v>4</v>
      </c>
      <c r="H160">
        <v>0</v>
      </c>
      <c r="I160">
        <v>4</v>
      </c>
    </row>
    <row r="161" spans="4:9" x14ac:dyDescent="0.25">
      <c r="D161" t="b">
        <v>1</v>
      </c>
      <c r="E161">
        <v>7</v>
      </c>
      <c r="F161" t="b">
        <v>1</v>
      </c>
      <c r="G161">
        <v>3</v>
      </c>
      <c r="H161">
        <v>0</v>
      </c>
      <c r="I161">
        <v>3</v>
      </c>
    </row>
    <row r="162" spans="4:9" x14ac:dyDescent="0.25">
      <c r="D162" t="b">
        <v>0</v>
      </c>
      <c r="E162">
        <v>7</v>
      </c>
      <c r="F162" t="b">
        <v>0</v>
      </c>
      <c r="G162">
        <v>3</v>
      </c>
      <c r="H162">
        <v>0</v>
      </c>
      <c r="I162">
        <v>2</v>
      </c>
    </row>
    <row r="163" spans="4:9" x14ac:dyDescent="0.25">
      <c r="D163" t="b">
        <v>0</v>
      </c>
      <c r="E163">
        <v>6</v>
      </c>
      <c r="F163" t="b">
        <v>1</v>
      </c>
      <c r="G163">
        <v>4</v>
      </c>
      <c r="H163">
        <v>1</v>
      </c>
      <c r="I163">
        <v>3</v>
      </c>
    </row>
    <row r="164" spans="4:9" x14ac:dyDescent="0.25">
      <c r="D164" t="b">
        <v>0</v>
      </c>
      <c r="E164">
        <v>7</v>
      </c>
      <c r="F164" t="b">
        <v>1</v>
      </c>
      <c r="G164">
        <v>4</v>
      </c>
      <c r="H164">
        <v>0</v>
      </c>
      <c r="I164">
        <v>3</v>
      </c>
    </row>
    <row r="165" spans="4:9" x14ac:dyDescent="0.25">
      <c r="D165" t="b">
        <v>0</v>
      </c>
      <c r="E165">
        <v>6</v>
      </c>
      <c r="F165" t="b">
        <v>0</v>
      </c>
      <c r="G165">
        <v>3</v>
      </c>
      <c r="H165">
        <v>0</v>
      </c>
      <c r="I165">
        <v>2</v>
      </c>
    </row>
    <row r="166" spans="4:9" x14ac:dyDescent="0.25">
      <c r="D166" t="b">
        <v>0</v>
      </c>
      <c r="E166">
        <v>7</v>
      </c>
      <c r="F166" t="b">
        <v>0</v>
      </c>
      <c r="G166">
        <v>3</v>
      </c>
      <c r="H166">
        <v>0</v>
      </c>
      <c r="I166">
        <v>1</v>
      </c>
    </row>
    <row r="167" spans="4:9" x14ac:dyDescent="0.25">
      <c r="D167" t="b">
        <v>0</v>
      </c>
      <c r="E167">
        <v>6</v>
      </c>
      <c r="F167" t="b">
        <v>1</v>
      </c>
      <c r="G167">
        <v>3</v>
      </c>
      <c r="H167">
        <v>0</v>
      </c>
      <c r="I167">
        <v>2</v>
      </c>
    </row>
    <row r="168" spans="4:9" x14ac:dyDescent="0.25">
      <c r="D168" t="b">
        <v>1</v>
      </c>
      <c r="E168">
        <v>6</v>
      </c>
      <c r="F168" t="b">
        <v>1</v>
      </c>
      <c r="G168">
        <v>4</v>
      </c>
      <c r="H168">
        <v>0</v>
      </c>
      <c r="I168">
        <v>4</v>
      </c>
    </row>
    <row r="169" spans="4:9" x14ac:dyDescent="0.25">
      <c r="D169" t="b">
        <v>0</v>
      </c>
      <c r="E169">
        <v>7</v>
      </c>
      <c r="F169" t="b">
        <v>1</v>
      </c>
      <c r="G169">
        <v>5</v>
      </c>
      <c r="H169">
        <v>0</v>
      </c>
      <c r="I169">
        <v>3</v>
      </c>
    </row>
    <row r="170" spans="4:9" x14ac:dyDescent="0.25">
      <c r="D170" t="b">
        <v>0</v>
      </c>
      <c r="E170">
        <v>6</v>
      </c>
      <c r="F170" t="b">
        <v>1</v>
      </c>
      <c r="G170">
        <v>2</v>
      </c>
      <c r="H170">
        <v>1</v>
      </c>
      <c r="I170">
        <v>2</v>
      </c>
    </row>
    <row r="171" spans="4:9" x14ac:dyDescent="0.25">
      <c r="D171" t="b">
        <v>0</v>
      </c>
      <c r="E171">
        <v>7</v>
      </c>
      <c r="F171" t="b">
        <v>1</v>
      </c>
      <c r="G171">
        <v>2</v>
      </c>
      <c r="H171">
        <v>1</v>
      </c>
      <c r="I171">
        <v>2</v>
      </c>
    </row>
    <row r="172" spans="4:9" x14ac:dyDescent="0.25">
      <c r="D172" t="b">
        <v>0</v>
      </c>
      <c r="E172">
        <v>7</v>
      </c>
      <c r="F172" t="b">
        <v>1</v>
      </c>
      <c r="G172">
        <v>5</v>
      </c>
      <c r="H172">
        <v>1</v>
      </c>
      <c r="I172">
        <v>4</v>
      </c>
    </row>
    <row r="173" spans="4:9" x14ac:dyDescent="0.25">
      <c r="D173" t="b">
        <v>0</v>
      </c>
      <c r="E173">
        <v>5</v>
      </c>
      <c r="F173" t="b">
        <v>1</v>
      </c>
      <c r="G173">
        <v>3</v>
      </c>
      <c r="H173">
        <v>1</v>
      </c>
      <c r="I173">
        <v>3</v>
      </c>
    </row>
    <row r="174" spans="4:9" x14ac:dyDescent="0.25">
      <c r="D174" t="b">
        <v>0</v>
      </c>
      <c r="E174">
        <v>7</v>
      </c>
      <c r="F174" t="b">
        <v>1</v>
      </c>
      <c r="G174">
        <v>3</v>
      </c>
      <c r="H174">
        <v>1</v>
      </c>
      <c r="I174">
        <v>2</v>
      </c>
    </row>
    <row r="175" spans="4:9" x14ac:dyDescent="0.25">
      <c r="D175" t="b">
        <v>0</v>
      </c>
      <c r="E175">
        <v>7</v>
      </c>
      <c r="F175" t="b">
        <v>0</v>
      </c>
      <c r="G175">
        <v>3</v>
      </c>
      <c r="H175">
        <v>0</v>
      </c>
      <c r="I175">
        <v>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10319-DE4C-4B08-8669-E416B17831EE}">
  <sheetPr codeName="Sheet3"/>
  <dimension ref="A3:S11"/>
  <sheetViews>
    <sheetView workbookViewId="0">
      <selection activeCell="E11" sqref="E11"/>
    </sheetView>
  </sheetViews>
  <sheetFormatPr defaultRowHeight="15" x14ac:dyDescent="0.25"/>
  <cols>
    <col min="1" max="1" width="16.42578125" bestFit="1" customWidth="1"/>
    <col min="2" max="2" width="16.28515625" bestFit="1" customWidth="1"/>
    <col min="3" max="3" width="5.5703125" bestFit="1" customWidth="1"/>
    <col min="4" max="4" width="6.85546875" bestFit="1" customWidth="1"/>
    <col min="5" max="5" width="8.5703125" customWidth="1"/>
    <col min="6" max="7" width="4.5703125" bestFit="1" customWidth="1"/>
    <col min="8" max="8" width="6.85546875" bestFit="1" customWidth="1"/>
    <col min="9" max="11" width="5.5703125" bestFit="1" customWidth="1"/>
    <col min="12" max="12" width="6.85546875" bestFit="1" customWidth="1"/>
    <col min="13" max="15" width="5.5703125" bestFit="1" customWidth="1"/>
    <col min="16" max="16" width="6.85546875" bestFit="1" customWidth="1"/>
    <col min="17" max="17" width="5.5703125" bestFit="1" customWidth="1"/>
    <col min="18" max="18" width="6.85546875" bestFit="1" customWidth="1"/>
    <col min="19" max="19" width="11.28515625" bestFit="1" customWidth="1"/>
    <col min="20" max="20" width="2" bestFit="1" customWidth="1"/>
    <col min="21" max="22" width="6.85546875" bestFit="1" customWidth="1"/>
    <col min="23" max="23" width="3.85546875" bestFit="1" customWidth="1"/>
    <col min="24" max="24" width="2" bestFit="1" customWidth="1"/>
    <col min="25" max="25" width="6.85546875" bestFit="1" customWidth="1"/>
    <col min="26" max="26" width="3.85546875" bestFit="1" customWidth="1"/>
    <col min="27" max="27" width="3" bestFit="1" customWidth="1"/>
    <col min="28" max="28" width="2" bestFit="1" customWidth="1"/>
    <col min="29" max="29" width="6.85546875" bestFit="1" customWidth="1"/>
    <col min="30" max="30" width="3.85546875" bestFit="1" customWidth="1"/>
    <col min="31" max="31" width="3" bestFit="1" customWidth="1"/>
    <col min="32" max="32" width="2" bestFit="1" customWidth="1"/>
    <col min="33" max="33" width="6.85546875" bestFit="1" customWidth="1"/>
    <col min="34" max="34" width="3.85546875" bestFit="1" customWidth="1"/>
    <col min="35" max="36" width="2" bestFit="1" customWidth="1"/>
    <col min="37" max="37" width="6.85546875" bestFit="1" customWidth="1"/>
    <col min="38" max="38" width="3.85546875" bestFit="1" customWidth="1"/>
    <col min="39" max="40" width="6.85546875" bestFit="1" customWidth="1"/>
    <col min="41" max="41" width="11.28515625" bestFit="1" customWidth="1"/>
  </cols>
  <sheetData>
    <row r="3" spans="1:19" x14ac:dyDescent="0.25">
      <c r="A3" s="10" t="s">
        <v>46</v>
      </c>
      <c r="B3" s="10" t="s">
        <v>47</v>
      </c>
    </row>
    <row r="4" spans="1:19" x14ac:dyDescent="0.25">
      <c r="B4">
        <v>1</v>
      </c>
      <c r="D4" t="s">
        <v>56</v>
      </c>
      <c r="E4">
        <v>2</v>
      </c>
      <c r="H4" t="s">
        <v>57</v>
      </c>
      <c r="I4">
        <v>3</v>
      </c>
      <c r="L4" t="s">
        <v>58</v>
      </c>
      <c r="M4">
        <v>4</v>
      </c>
      <c r="P4" t="s">
        <v>59</v>
      </c>
      <c r="Q4">
        <v>5</v>
      </c>
      <c r="R4" t="s">
        <v>48</v>
      </c>
      <c r="S4" t="s">
        <v>45</v>
      </c>
    </row>
    <row r="5" spans="1:19" x14ac:dyDescent="0.25">
      <c r="A5" s="10" t="s">
        <v>42</v>
      </c>
      <c r="B5">
        <v>0</v>
      </c>
      <c r="C5">
        <v>1</v>
      </c>
      <c r="E5">
        <v>0</v>
      </c>
      <c r="F5">
        <v>1</v>
      </c>
      <c r="G5">
        <v>2</v>
      </c>
      <c r="I5">
        <v>0</v>
      </c>
      <c r="J5">
        <v>1</v>
      </c>
      <c r="K5">
        <v>2</v>
      </c>
      <c r="M5">
        <v>0</v>
      </c>
      <c r="N5">
        <v>1</v>
      </c>
      <c r="O5">
        <v>2</v>
      </c>
      <c r="Q5">
        <v>0</v>
      </c>
    </row>
    <row r="6" spans="1:19" x14ac:dyDescent="0.25">
      <c r="A6" s="11" t="s">
        <v>43</v>
      </c>
      <c r="B6" s="12">
        <v>19</v>
      </c>
      <c r="C6" s="12">
        <v>5</v>
      </c>
      <c r="D6" s="12">
        <v>24</v>
      </c>
      <c r="E6" s="12">
        <v>16</v>
      </c>
      <c r="F6" s="12">
        <v>2</v>
      </c>
      <c r="G6" s="12">
        <v>1</v>
      </c>
      <c r="H6" s="12">
        <v>19</v>
      </c>
      <c r="I6" s="12"/>
      <c r="J6" s="12"/>
      <c r="K6" s="12"/>
      <c r="L6" s="12"/>
      <c r="M6" s="12"/>
      <c r="N6" s="12"/>
      <c r="O6" s="12"/>
      <c r="P6" s="12"/>
      <c r="Q6" s="12"/>
      <c r="R6" s="12"/>
      <c r="S6" s="12">
        <v>43</v>
      </c>
    </row>
    <row r="7" spans="1:19" x14ac:dyDescent="0.25">
      <c r="A7" s="11" t="s">
        <v>44</v>
      </c>
      <c r="B7" s="12">
        <v>5</v>
      </c>
      <c r="C7" s="12">
        <v>4</v>
      </c>
      <c r="D7" s="12">
        <v>9</v>
      </c>
      <c r="E7" s="12">
        <v>24</v>
      </c>
      <c r="F7" s="12">
        <v>16</v>
      </c>
      <c r="G7" s="12">
        <v>3</v>
      </c>
      <c r="H7" s="12">
        <v>43</v>
      </c>
      <c r="I7" s="12">
        <v>27</v>
      </c>
      <c r="J7" s="12">
        <v>17</v>
      </c>
      <c r="K7" s="12">
        <v>1</v>
      </c>
      <c r="L7" s="12">
        <v>45</v>
      </c>
      <c r="M7" s="12">
        <v>16</v>
      </c>
      <c r="N7" s="12">
        <v>5</v>
      </c>
      <c r="O7" s="12">
        <v>1</v>
      </c>
      <c r="P7" s="12">
        <v>22</v>
      </c>
      <c r="Q7" s="12">
        <v>1</v>
      </c>
      <c r="R7" s="12">
        <v>1</v>
      </c>
      <c r="S7" s="12">
        <v>120</v>
      </c>
    </row>
    <row r="8" spans="1:19" x14ac:dyDescent="0.25">
      <c r="A8" s="11" t="s">
        <v>45</v>
      </c>
      <c r="B8" s="12">
        <v>24</v>
      </c>
      <c r="C8" s="12">
        <v>9</v>
      </c>
      <c r="D8" s="12">
        <v>33</v>
      </c>
      <c r="E8" s="12">
        <v>40</v>
      </c>
      <c r="F8" s="12">
        <v>18</v>
      </c>
      <c r="G8" s="12">
        <v>4</v>
      </c>
      <c r="H8" s="12">
        <v>62</v>
      </c>
      <c r="I8" s="12">
        <v>27</v>
      </c>
      <c r="J8" s="12">
        <v>17</v>
      </c>
      <c r="K8" s="12">
        <v>1</v>
      </c>
      <c r="L8" s="12">
        <v>45</v>
      </c>
      <c r="M8" s="12">
        <v>16</v>
      </c>
      <c r="N8" s="12">
        <v>5</v>
      </c>
      <c r="O8" s="12">
        <v>1</v>
      </c>
      <c r="P8" s="12">
        <v>22</v>
      </c>
      <c r="Q8" s="12">
        <v>1</v>
      </c>
      <c r="R8" s="12">
        <v>1</v>
      </c>
      <c r="S8" s="12">
        <v>163</v>
      </c>
    </row>
    <row r="9" spans="1:19" x14ac:dyDescent="0.25">
      <c r="B9" s="9">
        <f>B7/B8</f>
        <v>0.20833333333333334</v>
      </c>
      <c r="C9" s="9">
        <f t="shared" ref="C9:S9" si="0">C7/C8</f>
        <v>0.44444444444444442</v>
      </c>
      <c r="D9" s="9">
        <f t="shared" si="0"/>
        <v>0.27272727272727271</v>
      </c>
      <c r="E9" s="9">
        <f t="shared" si="0"/>
        <v>0.6</v>
      </c>
      <c r="F9" s="9">
        <f t="shared" si="0"/>
        <v>0.88888888888888884</v>
      </c>
      <c r="G9" s="9">
        <f t="shared" si="0"/>
        <v>0.75</v>
      </c>
      <c r="H9" s="9">
        <f t="shared" si="0"/>
        <v>0.69354838709677424</v>
      </c>
      <c r="I9" s="9">
        <f t="shared" si="0"/>
        <v>1</v>
      </c>
      <c r="J9" s="9">
        <f t="shared" si="0"/>
        <v>1</v>
      </c>
      <c r="K9" s="9">
        <f t="shared" si="0"/>
        <v>1</v>
      </c>
      <c r="L9" s="9">
        <f t="shared" si="0"/>
        <v>1</v>
      </c>
      <c r="M9" s="9">
        <f t="shared" si="0"/>
        <v>1</v>
      </c>
      <c r="N9" s="9">
        <f t="shared" si="0"/>
        <v>1</v>
      </c>
      <c r="O9" s="9">
        <f t="shared" si="0"/>
        <v>1</v>
      </c>
      <c r="P9" s="9">
        <f t="shared" si="0"/>
        <v>1</v>
      </c>
      <c r="Q9" s="9">
        <f t="shared" si="0"/>
        <v>1</v>
      </c>
      <c r="R9" s="9">
        <f t="shared" si="0"/>
        <v>1</v>
      </c>
      <c r="S9" s="9">
        <f t="shared" si="0"/>
        <v>0.73619631901840488</v>
      </c>
    </row>
    <row r="11" spans="1:19" x14ac:dyDescent="0.25">
      <c r="E11" s="9">
        <f>SUM(E7:G7,I7:K7,M7:O7,Q7)/SUM(E8:G8,I8:K8,M8:O8,Q8)</f>
        <v>0.85384615384615381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51D06F-D305-411C-957C-64DEDA175D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Cards and locations</vt:lpstr>
      <vt:lpstr>Metrics</vt:lpstr>
      <vt:lpstr>Results</vt:lpstr>
      <vt:lpstr>Analysis</vt:lpstr>
      <vt:lpstr>Blue___Opt_in_hand</vt:lpstr>
      <vt:lpstr>Blue_Sources_needed_in_opening_hand</vt:lpstr>
      <vt:lpstr>Can_play_a_land_this_turn?</vt:lpstr>
      <vt:lpstr>Cards_in_hand</vt:lpstr>
      <vt:lpstr>Cards_left_in_deck</vt:lpstr>
      <vt:lpstr>Cards_originally_in_deck</vt:lpstr>
      <vt:lpstr>First_Opt_in_hand</vt:lpstr>
      <vt:lpstr>First_Tapped_land_in_hand</vt:lpstr>
      <vt:lpstr>First_Untapped_Land_in_the_hand</vt:lpstr>
      <vt:lpstr>First_Untapped_Land_on_the_field</vt:lpstr>
      <vt:lpstr>Has_Opt?</vt:lpstr>
      <vt:lpstr>Has_Tapped_Blue</vt:lpstr>
      <vt:lpstr>Has_Untapped_Blue</vt:lpstr>
      <vt:lpstr>Has_Untapped_Blue_on_the_field?</vt:lpstr>
      <vt:lpstr>Keepable_Opening_Hand?</vt:lpstr>
      <vt:lpstr>Lands_on_the_field</vt:lpstr>
      <vt:lpstr>Max_Tapped_Land_left</vt:lpstr>
      <vt:lpstr>Number_of_blue___non_blue_lands_in_hand</vt:lpstr>
      <vt:lpstr>Number_of_Lands_in_hand</vt:lpstr>
      <vt:lpstr>Number_of_Opts_in_hand</vt:lpstr>
      <vt:lpstr>Opt_Factor</vt:lpstr>
      <vt:lpstr>Tapped_Blue_in_hand</vt:lpstr>
      <vt:lpstr>Turn</vt:lpstr>
      <vt:lpstr>Untapped_Blue_in_hand</vt:lpstr>
      <vt:lpstr>Untapped_Blue_on_field</vt:lpstr>
      <vt:lpstr>Untapped_Land?</vt:lpstr>
      <vt:lpstr>Victory?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Jansen, Olivier</dc:creator>
  <cp:lastModifiedBy>Jansen, Olivier</cp:lastModifiedBy>
  <dcterms:created xsi:type="dcterms:W3CDTF">2019-06-10T16:03:18Z</dcterms:created>
  <dcterms:modified xsi:type="dcterms:W3CDTF">2019-06-11T22:04:31Z</dcterms:modified>
</cp:coreProperties>
</file>