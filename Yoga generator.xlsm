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D7791F88-BC2A-4745-9D45-497642B4312C}" xr6:coauthVersionLast="43" xr6:coauthVersionMax="43" xr10:uidLastSave="{00000000-0000-0000-0000-000000000000}"/>
  <bookViews>
    <workbookView xWindow="-120" yWindow="-120" windowWidth="23310" windowHeight="13740" firstSheet="1" activeTab="1" xr2:uid="{7EFC5BEA-B111-4B7E-86D7-EC3B9E911A8E}"/>
  </bookViews>
  <sheets>
    <sheet name="Template" sheetId="2" state="hidden" r:id="rId1"/>
    <sheet name="Class Panel" sheetId="3" r:id="rId2"/>
    <sheet name="Pose Sheet" sheetId="1" r:id="rId3"/>
    <sheet name="Randomizer" sheetId="4" state="hidden" r:id="rId4"/>
  </sheets>
  <functionGroups builtInGroupCount="19"/>
  <definedNames>
    <definedName name="Active">"Active"</definedName>
    <definedName name="CoolDown">"Cool Down"</definedName>
    <definedName name="Current_Activity">Randomizer!$E$7</definedName>
    <definedName name="Current_Iteration">Randomizer!$E$6</definedName>
    <definedName name="Ending_Exercise">'Class Panel'!$D$13</definedName>
    <definedName name="Ending_Exercise_Time">'Class Panel'!$D$14</definedName>
    <definedName name="Left_Right">Randomizer!$E$11</definedName>
    <definedName name="Music_Link">'Class Panel'!$D$16</definedName>
    <definedName name="Number_Of_Active_Exercises">'Class Panel'!$D$9</definedName>
    <definedName name="Number_Of_Cooldowns">'Class Panel'!$D$10</definedName>
    <definedName name="Number_Of_Warm_Ups">'Class Panel'!$D$8</definedName>
    <definedName name="Randomizer">Randomizer!$E$8</definedName>
    <definedName name="Result">Randomizer!$E$9</definedName>
    <definedName name="Starting_Exercise">'Class Panel'!$D$11</definedName>
    <definedName name="Starting_Exercise_Time">'Class Panel'!$D$12</definedName>
    <definedName name="Time">Randomizer!$E$10</definedName>
    <definedName name="Voice_Type">'Class Panel'!$D$15</definedName>
    <definedName name="WarmUp">"Warm Up"</definedName>
  </definedNames>
  <calcPr calcId="181029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4" l="1"/>
  <c r="E8" i="4"/>
  <c r="E9" i="4" s="1"/>
  <c r="D19" i="3"/>
  <c r="D18" i="3"/>
  <c r="D17" i="3"/>
  <c r="Q23" i="1"/>
  <c r="Q22" i="1"/>
  <c r="Q21" i="1"/>
  <c r="Q20" i="1"/>
  <c r="Q19" i="1"/>
  <c r="Q18" i="1"/>
  <c r="Q1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Q9" i="1"/>
  <c r="Q10" i="1"/>
  <c r="Q11" i="1"/>
  <c r="Q12" i="1"/>
  <c r="Q13" i="1"/>
  <c r="Q14" i="1"/>
  <c r="Q15" i="1"/>
  <c r="Q16" i="1"/>
  <c r="D20" i="3" l="1"/>
  <c r="E11" i="4"/>
  <c r="E10" i="4"/>
</calcChain>
</file>

<file path=xl/sharedStrings.xml><?xml version="1.0" encoding="utf-8"?>
<sst xmlns="http://schemas.openxmlformats.org/spreadsheetml/2006/main" count="97" uniqueCount="80">
  <si>
    <t>Position name</t>
  </si>
  <si>
    <t>Position Time</t>
  </si>
  <si>
    <t>Left/Right flag</t>
  </si>
  <si>
    <t>Template</t>
  </si>
  <si>
    <t>Child's Pose</t>
  </si>
  <si>
    <t>Poses</t>
  </si>
  <si>
    <t>Tree pose</t>
  </si>
  <si>
    <t>Current Activity</t>
  </si>
  <si>
    <t>Randomizer</t>
  </si>
  <si>
    <t>Result</t>
  </si>
  <si>
    <t>Time</t>
  </si>
  <si>
    <t>Left/Right</t>
  </si>
  <si>
    <t>Starting Exercise</t>
  </si>
  <si>
    <t>Ending Exercise</t>
  </si>
  <si>
    <t>Number Of Warm-Ups</t>
  </si>
  <si>
    <t>Number Of Active Exercises</t>
  </si>
  <si>
    <t>Number Of Cooldowns</t>
  </si>
  <si>
    <t>Starting Exercise Time</t>
  </si>
  <si>
    <t>Ending Exercise Time</t>
  </si>
  <si>
    <t>Savasana</t>
  </si>
  <si>
    <t>Chaturanga</t>
  </si>
  <si>
    <t>Tadasana</t>
  </si>
  <si>
    <t>Halfway lift</t>
  </si>
  <si>
    <t>Forward fold</t>
  </si>
  <si>
    <t>Chair pose</t>
  </si>
  <si>
    <t>Warm Up</t>
  </si>
  <si>
    <t>Active</t>
  </si>
  <si>
    <t>Cool Down</t>
  </si>
  <si>
    <t xml:space="preserve">Dancer </t>
  </si>
  <si>
    <t>Tree</t>
  </si>
  <si>
    <t>Eagle</t>
  </si>
  <si>
    <t>Airplane</t>
  </si>
  <si>
    <t>Warrior one</t>
  </si>
  <si>
    <t>Warrior two</t>
  </si>
  <si>
    <t>Warrior three</t>
  </si>
  <si>
    <t xml:space="preserve">Yoga curtsy </t>
  </si>
  <si>
    <t>Pigeon</t>
  </si>
  <si>
    <t>Prayer twist</t>
  </si>
  <si>
    <t>Crow pose</t>
  </si>
  <si>
    <t>Crane pose</t>
  </si>
  <si>
    <t>Figure four</t>
  </si>
  <si>
    <t>Shoulder stand</t>
  </si>
  <si>
    <t>Spinal twist</t>
  </si>
  <si>
    <t>High boat</t>
  </si>
  <si>
    <t>Low boat</t>
  </si>
  <si>
    <t>Bow pose</t>
  </si>
  <si>
    <t>Three legged dog</t>
  </si>
  <si>
    <t>Rag doll</t>
  </si>
  <si>
    <t>Standing split</t>
  </si>
  <si>
    <t>Cat</t>
  </si>
  <si>
    <t>Cow</t>
  </si>
  <si>
    <t>Goddess</t>
  </si>
  <si>
    <t>High plank</t>
  </si>
  <si>
    <t>Low push up</t>
  </si>
  <si>
    <t>Forearm plank</t>
  </si>
  <si>
    <t>Bridge</t>
  </si>
  <si>
    <t>Wheel</t>
  </si>
  <si>
    <t>Happy baby</t>
  </si>
  <si>
    <t>Seated meditation</t>
  </si>
  <si>
    <t>Child's pose</t>
  </si>
  <si>
    <t>Camel pose</t>
  </si>
  <si>
    <t>Downward facing dog</t>
  </si>
  <si>
    <t>Low cobra</t>
  </si>
  <si>
    <t>Side plank</t>
  </si>
  <si>
    <t>Crescent</t>
  </si>
  <si>
    <t>Voice Type</t>
  </si>
  <si>
    <t>Girl</t>
  </si>
  <si>
    <t>Class Panel</t>
  </si>
  <si>
    <t>Child Pose</t>
  </si>
  <si>
    <t>Triangle pose</t>
  </si>
  <si>
    <t>Extended side angle</t>
  </si>
  <si>
    <t>Balancing half moon</t>
  </si>
  <si>
    <t>Seated forward bend</t>
  </si>
  <si>
    <t>Time to complete</t>
  </si>
  <si>
    <t>Estimated warm-up time:</t>
  </si>
  <si>
    <t>Estimated Active Time:</t>
  </si>
  <si>
    <t>Estimated Cooldown Time:</t>
  </si>
  <si>
    <t>Total Estimated Class Time:</t>
  </si>
  <si>
    <t>Music Link</t>
  </si>
  <si>
    <t>https://www.youtube.com/watch?v=6AawjvroJUk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</si>
</sst>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\ &quot; Seconds&quot;"/>
    <numFmt numFmtId="169" formatCode="#.#\ &quot; Minutes&quot;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NumberFormat="1"/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168" fontId="1" fillId="0" borderId="5" xfId="0" applyNumberFormat="1" applyFont="1" applyBorder="1" applyAlignment="1">
      <alignment vertical="center"/>
    </xf>
    <xf numFmtId="169" fontId="1" fillId="0" borderId="5" xfId="0" applyNumberFormat="1" applyFont="1" applyBorder="1" applyAlignment="1">
      <alignment vertical="center"/>
    </xf>
    <xf numFmtId="169" fontId="1" fillId="0" borderId="6" xfId="0" applyNumberFormat="1" applyFont="1" applyBorder="1" applyAlignment="1">
      <alignment vertical="center"/>
    </xf>
    <xf numFmtId="168" fontId="3" fillId="0" borderId="5" xfId="1" applyNumberForma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7</xdr:row>
      <xdr:rowOff>171451</xdr:rowOff>
    </xdr:from>
    <xdr:to>
      <xdr:col>8</xdr:col>
      <xdr:colOff>542925</xdr:colOff>
      <xdr:row>12</xdr:row>
      <xdr:rowOff>123826</xdr:rowOff>
    </xdr:to>
    <xdr:sp macro="[0]!StartWork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EC0686-BACA-4467-9DA1-EEA5EA90ACDA}"/>
            </a:ext>
          </a:extLst>
        </xdr:cNvPr>
        <xdr:cNvSpPr/>
      </xdr:nvSpPr>
      <xdr:spPr>
        <a:xfrm>
          <a:off x="4848225" y="1514476"/>
          <a:ext cx="2314575" cy="1143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Start Class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EF026A-A2ED-4CDF-BCD2-AA845C6B3A7B}" name="TbWarmUp" displayName="TbWarmUp" ref="D8:G21" totalsRowShown="0">
  <autoFilter ref="D8:G21" xr:uid="{572DC8A5-70D8-4B36-82F7-4BA9AA167A23}"/>
  <tableColumns count="4">
    <tableColumn id="1" xr3:uid="{E08EA1CF-E5F8-47DF-A580-318C1B71EE00}" name="Position name"/>
    <tableColumn id="2" xr3:uid="{5BE2B63D-4C74-4D25-8170-066933F6D39A}" name="Position Time"/>
    <tableColumn id="3" xr3:uid="{595597EB-A3B7-423E-937F-36AA2406A9EA}" name="Left/Right flag"/>
    <tableColumn id="4" xr3:uid="{3CE8F816-F9BD-41DE-8A0F-AEC6772B7868}" name="Time to complete" dataDxfId="0">
      <calculatedColumnFormula>IF(TbWarmUp[[#This Row],[Left/Right flag]],TbWarmUp[[#This Row],[Position Time]]*2,TbWarmUp[[#This Row],[Position 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F925D-B700-4208-821C-3A92CA92D29C}" name="TbActive" displayName="TbActive" ref="I8:L36" totalsRowShown="0">
  <autoFilter ref="I8:L36" xr:uid="{ED4C781A-2DB6-4CB6-81B3-00A2939648DF}"/>
  <tableColumns count="4">
    <tableColumn id="1" xr3:uid="{EE4D6BA1-D246-4D00-96E8-57171538E48C}" name="Position name"/>
    <tableColumn id="2" xr3:uid="{1E87C2A6-ECDE-4E8F-8B3B-ACC02067457C}" name="Position Time"/>
    <tableColumn id="3" xr3:uid="{1A81A1AD-4D0A-4F0E-888A-53B5F7C5C4BD}" name="Left/Right flag"/>
    <tableColumn id="4" xr3:uid="{0DF88298-F05C-4DBA-8A28-B48ED32056B0}" name="Time to complete" dataDxfId="1">
      <calculatedColumnFormula>IF(TbActive[[#This Row],[Left/Right flag]],TbActive[[#This Row],[Position Time]]*2,TbActive[[#This Row],[Position Time]])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52CEA5-FFBB-465B-97E7-E55E84713F1F}" name="TbCooldown" displayName="TbCooldown" ref="N8:Q23" totalsRowShown="0">
  <autoFilter ref="N8:Q23" xr:uid="{61737A03-7765-4116-9C80-C110450405A8}"/>
  <tableColumns count="4">
    <tableColumn id="1" xr3:uid="{243EB879-1622-4E90-BC60-D44C83A48D9A}" name="Position name"/>
    <tableColumn id="2" xr3:uid="{348A8671-184E-41FD-9966-EB622064BAB4}" name="Position Time"/>
    <tableColumn id="3" xr3:uid="{1D637BFD-1AAC-4B39-8CC3-9615D702A240}" name="Left/Right flag"/>
    <tableColumn id="4" xr3:uid="{E19F0AFA-89F6-4B88-ABEF-829F6D0270E6}" name="Time to complete" dataDxfId="2">
      <calculatedColumnFormula>IF(TbCooldown[[#This Row],[Left/Right flag]],TbCooldown[[#This Row],[Position Time]]*2,TbCooldown[[#This Row],[Position Time]])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youtube.com/watch?v=6AawjvroJUk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62F0-F5E1-4E7F-BAC6-E498B3DC1AFB}">
  <sheetPr codeName="Sheet1"/>
  <dimension ref="A1:H3"/>
  <sheetViews>
    <sheetView showGridLines="0" workbookViewId="0">
      <selection sqref="A1:A1048576"/>
    </sheetView>
  </sheetViews>
  <sheetFormatPr defaultRowHeight="15" x14ac:dyDescent="0.25"/>
  <cols>
    <col min="1" max="1" width="2.85546875" style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3</v>
      </c>
      <c r="D2" s="2"/>
      <c r="E2" s="2"/>
      <c r="F2" s="2"/>
      <c r="G2" s="2"/>
      <c r="H2" s="2"/>
    </row>
    <row r="3" spans="3:8" s="1" customFormat="1" ht="7.5" customHeight="1" x14ac:dyDescent="0.25"/>
  </sheetData>
  <mergeCells count="1">
    <mergeCell ref="C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BC63-22B7-4B6A-97F6-17E4F8BC9E86}">
  <sheetPr codeName="Sheet2"/>
  <dimension ref="A1:H20"/>
  <sheetViews>
    <sheetView showGridLines="0" tabSelected="1" workbookViewId="0">
      <selection activeCell="F6" sqref="F6"/>
    </sheetView>
  </sheetViews>
  <sheetFormatPr defaultRowHeight="15" x14ac:dyDescent="0.25"/>
  <cols>
    <col min="1" max="1" width="2.85546875" style="1" customWidth="1"/>
    <col min="3" max="3" width="33.5703125" bestFit="1" customWidth="1"/>
    <col min="4" max="4" width="17.140625" bestFit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67</v>
      </c>
      <c r="D2" s="2"/>
      <c r="E2" s="2"/>
      <c r="F2" s="2"/>
      <c r="G2" s="2"/>
      <c r="H2" s="2"/>
    </row>
    <row r="3" spans="3:8" s="1" customFormat="1" ht="7.5" customHeight="1" x14ac:dyDescent="0.25"/>
    <row r="7" spans="3:8" ht="15.75" thickBot="1" x14ac:dyDescent="0.3"/>
    <row r="8" spans="3:8" ht="18.75" x14ac:dyDescent="0.25">
      <c r="C8" s="10" t="s">
        <v>14</v>
      </c>
      <c r="D8" s="11">
        <v>5</v>
      </c>
    </row>
    <row r="9" spans="3:8" ht="18.75" x14ac:dyDescent="0.25">
      <c r="C9" s="12" t="s">
        <v>15</v>
      </c>
      <c r="D9" s="13">
        <v>5</v>
      </c>
    </row>
    <row r="10" spans="3:8" ht="18.75" x14ac:dyDescent="0.25">
      <c r="C10" s="12" t="s">
        <v>16</v>
      </c>
      <c r="D10" s="13">
        <v>2</v>
      </c>
    </row>
    <row r="11" spans="3:8" ht="18.75" x14ac:dyDescent="0.25">
      <c r="C11" s="14" t="s">
        <v>12</v>
      </c>
      <c r="D11" s="13" t="s">
        <v>4</v>
      </c>
    </row>
    <row r="12" spans="3:8" ht="18.75" x14ac:dyDescent="0.25">
      <c r="C12" s="14" t="s">
        <v>17</v>
      </c>
      <c r="D12" s="16">
        <v>30</v>
      </c>
    </row>
    <row r="13" spans="3:8" ht="18.75" x14ac:dyDescent="0.25">
      <c r="C13" s="14" t="s">
        <v>13</v>
      </c>
      <c r="D13" s="13" t="s">
        <v>19</v>
      </c>
    </row>
    <row r="14" spans="3:8" ht="18.75" x14ac:dyDescent="0.25">
      <c r="C14" s="14" t="s">
        <v>18</v>
      </c>
      <c r="D14" s="16">
        <v>300</v>
      </c>
    </row>
    <row r="15" spans="3:8" ht="18.75" x14ac:dyDescent="0.25">
      <c r="C15" s="14" t="s">
        <v>65</v>
      </c>
      <c r="D15" s="13" t="s">
        <v>66</v>
      </c>
    </row>
    <row r="16" spans="3:8" ht="18.75" x14ac:dyDescent="0.25">
      <c r="C16" s="14" t="s">
        <v>78</v>
      </c>
      <c r="D16" s="19" t="s">
        <v>79</v>
      </c>
    </row>
    <row r="17" spans="3:4" ht="18.75" x14ac:dyDescent="0.25">
      <c r="C17" s="12" t="s">
        <v>74</v>
      </c>
      <c r="D17" s="17">
        <f>AVERAGE(TbWarmUp[Time to complete])*Number_Of_Warm_Ups/60</f>
        <v>1.5384615384615381</v>
      </c>
    </row>
    <row r="18" spans="3:4" ht="18.75" x14ac:dyDescent="0.25">
      <c r="C18" s="12" t="s">
        <v>75</v>
      </c>
      <c r="D18" s="17">
        <f>AVERAGE(TbActive[Time to complete])*Number_Of_Active_Exercises/60</f>
        <v>1.919642857142857</v>
      </c>
    </row>
    <row r="19" spans="3:4" ht="18.75" x14ac:dyDescent="0.25">
      <c r="C19" s="12" t="s">
        <v>76</v>
      </c>
      <c r="D19" s="17">
        <f>AVERAGE(TbCooldown[Time to complete])*Number_Of_Cooldowns/60</f>
        <v>1.9333333333333333</v>
      </c>
    </row>
    <row r="20" spans="3:4" ht="19.5" thickBot="1" x14ac:dyDescent="0.3">
      <c r="C20" s="15" t="s">
        <v>77</v>
      </c>
      <c r="D20" s="18">
        <f>D17+D18+D19+Ending_Exercise_Time/60+Starting_Exercise_Time/60</f>
        <v>10.891437728937728</v>
      </c>
    </row>
  </sheetData>
  <mergeCells count="1">
    <mergeCell ref="C2:H2"/>
  </mergeCells>
  <dataValidations count="1">
    <dataValidation type="list" allowBlank="1" showInputMessage="1" showErrorMessage="1" sqref="D15" xr:uid="{D52F033A-7AEE-4296-AC98-7F04C8472D88}">
      <formula1>"Girl, Boy"</formula1>
    </dataValidation>
  </dataValidations>
  <hyperlinks>
    <hyperlink ref="D16" r:id="rId1" xr:uid="{4103A602-D8D5-4C62-8396-A59EECBB4486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0A5-7A7D-4D3A-8486-145B28EA9F2E}">
  <sheetPr codeName="Sheet4"/>
  <dimension ref="A1:Q36"/>
  <sheetViews>
    <sheetView showGridLines="0" topLeftCell="D1" workbookViewId="0">
      <selection activeCell="D23" sqref="D23"/>
    </sheetView>
  </sheetViews>
  <sheetFormatPr defaultRowHeight="15" x14ac:dyDescent="0.25"/>
  <cols>
    <col min="1" max="1" width="2.85546875" style="1" customWidth="1"/>
    <col min="2" max="2" width="15.85546875" customWidth="1"/>
    <col min="3" max="3" width="15.28515625" customWidth="1"/>
    <col min="4" max="4" width="15.7109375" customWidth="1"/>
    <col min="5" max="5" width="15.5703125" bestFit="1" customWidth="1"/>
    <col min="6" max="6" width="16.140625" bestFit="1" customWidth="1"/>
    <col min="7" max="7" width="16.140625" customWidth="1"/>
    <col min="8" max="8" width="15.5703125" bestFit="1" customWidth="1"/>
    <col min="9" max="9" width="16" bestFit="1" customWidth="1"/>
    <col min="11" max="11" width="16.140625" bestFit="1" customWidth="1"/>
    <col min="12" max="12" width="16.140625" customWidth="1"/>
    <col min="13" max="13" width="15.5703125" bestFit="1" customWidth="1"/>
    <col min="14" max="14" width="17.7109375" bestFit="1" customWidth="1"/>
  </cols>
  <sheetData>
    <row r="1" spans="3:17" s="1" customFormat="1" ht="7.5" customHeight="1" x14ac:dyDescent="0.25"/>
    <row r="2" spans="3:17" s="1" customFormat="1" ht="30" customHeight="1" x14ac:dyDescent="0.25">
      <c r="C2" s="2" t="s">
        <v>5</v>
      </c>
      <c r="D2" s="2"/>
      <c r="E2" s="2"/>
      <c r="F2" s="2"/>
      <c r="G2" s="2"/>
      <c r="H2" s="2"/>
      <c r="I2" s="2"/>
    </row>
    <row r="3" spans="3:17" s="1" customFormat="1" ht="7.5" customHeight="1" x14ac:dyDescent="0.25"/>
    <row r="7" spans="3:17" x14ac:dyDescent="0.25">
      <c r="E7" t="s">
        <v>25</v>
      </c>
      <c r="J7" t="s">
        <v>26</v>
      </c>
      <c r="O7" t="s">
        <v>27</v>
      </c>
    </row>
    <row r="8" spans="3:17" x14ac:dyDescent="0.25">
      <c r="D8" t="s">
        <v>0</v>
      </c>
      <c r="E8" t="s">
        <v>1</v>
      </c>
      <c r="F8" t="s">
        <v>2</v>
      </c>
      <c r="G8" t="s">
        <v>73</v>
      </c>
      <c r="I8" t="s">
        <v>0</v>
      </c>
      <c r="J8" t="s">
        <v>1</v>
      </c>
      <c r="K8" t="s">
        <v>2</v>
      </c>
      <c r="L8" t="s">
        <v>73</v>
      </c>
      <c r="N8" t="s">
        <v>0</v>
      </c>
      <c r="O8" t="s">
        <v>1</v>
      </c>
      <c r="P8" t="s">
        <v>2</v>
      </c>
      <c r="Q8" t="s">
        <v>73</v>
      </c>
    </row>
    <row r="9" spans="3:17" x14ac:dyDescent="0.25">
      <c r="D9" t="s">
        <v>68</v>
      </c>
      <c r="E9">
        <v>30</v>
      </c>
      <c r="F9" t="b">
        <v>0</v>
      </c>
      <c r="G9">
        <f>IF(TbWarmUp[[#This Row],[Left/Right flag]],TbWarmUp[[#This Row],[Position Time]]*2,TbWarmUp[[#This Row],[Position Time]])</f>
        <v>30</v>
      </c>
      <c r="I9" t="s">
        <v>20</v>
      </c>
      <c r="J9">
        <v>15</v>
      </c>
      <c r="K9" t="b">
        <v>0</v>
      </c>
      <c r="L9">
        <f>IF(TbActive[[#This Row],[Left/Right flag]],TbActive[[#This Row],[Position Time]]*2,TbActive[[#This Row],[Position Time]])</f>
        <v>15</v>
      </c>
      <c r="N9" t="s">
        <v>6</v>
      </c>
      <c r="O9">
        <v>30</v>
      </c>
      <c r="P9" t="b">
        <v>1</v>
      </c>
      <c r="Q9">
        <f>IF(TbCooldown[[#This Row],[Left/Right flag]],TbCooldown[[#This Row],[Position Time]]*2,TbCooldown[[#This Row],[Position Time]])</f>
        <v>60</v>
      </c>
    </row>
    <row r="10" spans="3:17" x14ac:dyDescent="0.25">
      <c r="D10" t="s">
        <v>21</v>
      </c>
      <c r="E10">
        <v>15</v>
      </c>
      <c r="F10" t="b">
        <v>0</v>
      </c>
      <c r="G10">
        <f>IF(TbWarmUp[[#This Row],[Left/Right flag]],TbWarmUp[[#This Row],[Position Time]]*2,TbWarmUp[[#This Row],[Position Time]])</f>
        <v>15</v>
      </c>
      <c r="I10" t="s">
        <v>28</v>
      </c>
      <c r="J10">
        <v>15</v>
      </c>
      <c r="K10" t="b">
        <v>1</v>
      </c>
      <c r="L10">
        <f>IF(TbActive[[#This Row],[Left/Right flag]],TbActive[[#This Row],[Position Time]]*2,TbActive[[#This Row],[Position Time]])</f>
        <v>30</v>
      </c>
      <c r="N10" t="s">
        <v>36</v>
      </c>
      <c r="O10">
        <v>180</v>
      </c>
      <c r="P10" t="b">
        <v>1</v>
      </c>
      <c r="Q10">
        <f>IF(TbCooldown[[#This Row],[Left/Right flag]],TbCooldown[[#This Row],[Position Time]]*2,TbCooldown[[#This Row],[Position Time]])</f>
        <v>360</v>
      </c>
    </row>
    <row r="11" spans="3:17" x14ac:dyDescent="0.25">
      <c r="D11" t="s">
        <v>22</v>
      </c>
      <c r="E11">
        <v>15</v>
      </c>
      <c r="F11" t="b">
        <v>0</v>
      </c>
      <c r="G11">
        <f>IF(TbWarmUp[[#This Row],[Left/Right flag]],TbWarmUp[[#This Row],[Position Time]]*2,TbWarmUp[[#This Row],[Position Time]])</f>
        <v>15</v>
      </c>
      <c r="I11" t="s">
        <v>29</v>
      </c>
      <c r="J11">
        <v>15</v>
      </c>
      <c r="K11" t="b">
        <v>1</v>
      </c>
      <c r="L11">
        <f>IF(TbActive[[#This Row],[Left/Right flag]],TbActive[[#This Row],[Position Time]]*2,TbActive[[#This Row],[Position Time]])</f>
        <v>30</v>
      </c>
      <c r="N11" t="s">
        <v>40</v>
      </c>
      <c r="O11">
        <v>45</v>
      </c>
      <c r="P11" t="b">
        <v>1</v>
      </c>
      <c r="Q11">
        <f>IF(TbCooldown[[#This Row],[Left/Right flag]],TbCooldown[[#This Row],[Position Time]]*2,TbCooldown[[#This Row],[Position Time]])</f>
        <v>90</v>
      </c>
    </row>
    <row r="12" spans="3:17" x14ac:dyDescent="0.25">
      <c r="D12" t="s">
        <v>23</v>
      </c>
      <c r="E12">
        <v>15</v>
      </c>
      <c r="F12" t="b">
        <v>0</v>
      </c>
      <c r="G12">
        <f>IF(TbWarmUp[[#This Row],[Left/Right flag]],TbWarmUp[[#This Row],[Position Time]]*2,TbWarmUp[[#This Row],[Position Time]])</f>
        <v>15</v>
      </c>
      <c r="I12" t="s">
        <v>30</v>
      </c>
      <c r="J12">
        <v>15</v>
      </c>
      <c r="K12" t="b">
        <v>1</v>
      </c>
      <c r="L12">
        <f>IF(TbActive[[#This Row],[Left/Right flag]],TbActive[[#This Row],[Position Time]]*2,TbActive[[#This Row],[Position Time]])</f>
        <v>30</v>
      </c>
      <c r="N12" t="s">
        <v>42</v>
      </c>
      <c r="O12">
        <v>30</v>
      </c>
      <c r="P12" t="b">
        <v>1</v>
      </c>
      <c r="Q12">
        <f>IF(TbCooldown[[#This Row],[Left/Right flag]],TbCooldown[[#This Row],[Position Time]]*2,TbCooldown[[#This Row],[Position Time]])</f>
        <v>60</v>
      </c>
    </row>
    <row r="13" spans="3:17" x14ac:dyDescent="0.25">
      <c r="D13" t="s">
        <v>24</v>
      </c>
      <c r="E13">
        <v>15</v>
      </c>
      <c r="F13" t="b">
        <v>0</v>
      </c>
      <c r="G13">
        <f>IF(TbWarmUp[[#This Row],[Left/Right flag]],TbWarmUp[[#This Row],[Position Time]]*2,TbWarmUp[[#This Row],[Position Time]])</f>
        <v>15</v>
      </c>
      <c r="I13" t="s">
        <v>31</v>
      </c>
      <c r="J13">
        <v>15</v>
      </c>
      <c r="K13" t="b">
        <v>1</v>
      </c>
      <c r="L13">
        <f>IF(TbActive[[#This Row],[Left/Right flag]],TbActive[[#This Row],[Position Time]]*2,TbActive[[#This Row],[Position Time]])</f>
        <v>30</v>
      </c>
      <c r="N13" t="s">
        <v>55</v>
      </c>
      <c r="O13">
        <v>45</v>
      </c>
      <c r="P13" t="b">
        <v>0</v>
      </c>
      <c r="Q13">
        <f>IF(TbCooldown[[#This Row],[Left/Right flag]],TbCooldown[[#This Row],[Position Time]]*2,TbCooldown[[#This Row],[Position Time]])</f>
        <v>45</v>
      </c>
    </row>
    <row r="14" spans="3:17" x14ac:dyDescent="0.25">
      <c r="D14" t="s">
        <v>37</v>
      </c>
      <c r="E14">
        <v>15</v>
      </c>
      <c r="F14" t="b">
        <v>1</v>
      </c>
      <c r="G14">
        <f>IF(TbWarmUp[[#This Row],[Left/Right flag]],TbWarmUp[[#This Row],[Position Time]]*2,TbWarmUp[[#This Row],[Position Time]])</f>
        <v>30</v>
      </c>
      <c r="I14" t="s">
        <v>32</v>
      </c>
      <c r="J14">
        <v>15</v>
      </c>
      <c r="K14" t="b">
        <v>1</v>
      </c>
      <c r="L14">
        <f>IF(TbActive[[#This Row],[Left/Right flag]],TbActive[[#This Row],[Position Time]]*2,TbActive[[#This Row],[Position Time]])</f>
        <v>30</v>
      </c>
      <c r="N14" t="s">
        <v>57</v>
      </c>
      <c r="O14">
        <v>15</v>
      </c>
      <c r="P14" t="b">
        <v>0</v>
      </c>
      <c r="Q14">
        <f>IF(TbCooldown[[#This Row],[Left/Right flag]],TbCooldown[[#This Row],[Position Time]]*2,TbCooldown[[#This Row],[Position Time]])</f>
        <v>15</v>
      </c>
    </row>
    <row r="15" spans="3:17" x14ac:dyDescent="0.25">
      <c r="D15" t="s">
        <v>20</v>
      </c>
      <c r="E15">
        <v>15</v>
      </c>
      <c r="F15" t="b">
        <v>0</v>
      </c>
      <c r="G15">
        <f>IF(TbWarmUp[[#This Row],[Left/Right flag]],TbWarmUp[[#This Row],[Position Time]]*2,TbWarmUp[[#This Row],[Position Time]])</f>
        <v>15</v>
      </c>
      <c r="I15" t="s">
        <v>33</v>
      </c>
      <c r="J15">
        <v>15</v>
      </c>
      <c r="K15" t="b">
        <v>1</v>
      </c>
      <c r="L15">
        <f>IF(TbActive[[#This Row],[Left/Right flag]],TbActive[[#This Row],[Position Time]]*2,TbActive[[#This Row],[Position Time]])</f>
        <v>30</v>
      </c>
      <c r="N15" t="s">
        <v>58</v>
      </c>
      <c r="O15">
        <v>60</v>
      </c>
      <c r="P15" t="b">
        <v>0</v>
      </c>
      <c r="Q15">
        <f>IF(TbCooldown[[#This Row],[Left/Right flag]],TbCooldown[[#This Row],[Position Time]]*2,TbCooldown[[#This Row],[Position Time]])</f>
        <v>60</v>
      </c>
    </row>
    <row r="16" spans="3:17" x14ac:dyDescent="0.25">
      <c r="D16" t="s">
        <v>47</v>
      </c>
      <c r="E16">
        <v>15</v>
      </c>
      <c r="F16" t="b">
        <v>0</v>
      </c>
      <c r="G16">
        <f>IF(TbWarmUp[[#This Row],[Left/Right flag]],TbWarmUp[[#This Row],[Position Time]]*2,TbWarmUp[[#This Row],[Position Time]])</f>
        <v>15</v>
      </c>
      <c r="I16" t="s">
        <v>34</v>
      </c>
      <c r="J16">
        <v>15</v>
      </c>
      <c r="K16" t="b">
        <v>1</v>
      </c>
      <c r="L16">
        <f>IF(TbActive[[#This Row],[Left/Right flag]],TbActive[[#This Row],[Position Time]]*2,TbActive[[#This Row],[Position Time]])</f>
        <v>30</v>
      </c>
      <c r="N16" t="s">
        <v>59</v>
      </c>
      <c r="O16">
        <v>30</v>
      </c>
      <c r="P16" t="b">
        <v>0</v>
      </c>
      <c r="Q16">
        <f>IF(TbCooldown[[#This Row],[Left/Right flag]],TbCooldown[[#This Row],[Position Time]]*2,TbCooldown[[#This Row],[Position Time]])</f>
        <v>30</v>
      </c>
    </row>
    <row r="17" spans="4:17" x14ac:dyDescent="0.25">
      <c r="D17" t="s">
        <v>49</v>
      </c>
      <c r="E17">
        <v>15</v>
      </c>
      <c r="F17" t="b">
        <v>0</v>
      </c>
      <c r="G17">
        <f>IF(TbWarmUp[[#This Row],[Left/Right flag]],TbWarmUp[[#This Row],[Position Time]]*2,TbWarmUp[[#This Row],[Position Time]])</f>
        <v>15</v>
      </c>
      <c r="I17" t="s">
        <v>35</v>
      </c>
      <c r="J17">
        <v>15</v>
      </c>
      <c r="K17" t="b">
        <v>1</v>
      </c>
      <c r="L17">
        <f>IF(TbActive[[#This Row],[Left/Right flag]],TbActive[[#This Row],[Position Time]]*2,TbActive[[#This Row],[Position Time]])</f>
        <v>30</v>
      </c>
      <c r="N17" t="s">
        <v>57</v>
      </c>
      <c r="O17">
        <v>15</v>
      </c>
      <c r="P17" t="b">
        <v>0</v>
      </c>
      <c r="Q17" s="9">
        <f>IF(TbCooldown[[#This Row],[Left/Right flag]],TbCooldown[[#This Row],[Position Time]]*2,TbCooldown[[#This Row],[Position Time]])</f>
        <v>15</v>
      </c>
    </row>
    <row r="18" spans="4:17" x14ac:dyDescent="0.25">
      <c r="D18" t="s">
        <v>50</v>
      </c>
      <c r="E18">
        <v>15</v>
      </c>
      <c r="F18" t="b">
        <v>0</v>
      </c>
      <c r="G18">
        <f>IF(TbWarmUp[[#This Row],[Left/Right flag]],TbWarmUp[[#This Row],[Position Time]]*2,TbWarmUp[[#This Row],[Position Time]])</f>
        <v>15</v>
      </c>
      <c r="I18" t="s">
        <v>38</v>
      </c>
      <c r="J18">
        <v>15</v>
      </c>
      <c r="K18" t="b">
        <v>0</v>
      </c>
      <c r="L18">
        <f>IF(TbActive[[#This Row],[Left/Right flag]],TbActive[[#This Row],[Position Time]]*2,TbActive[[#This Row],[Position Time]])</f>
        <v>15</v>
      </c>
      <c r="N18" t="s">
        <v>57</v>
      </c>
      <c r="O18">
        <v>15</v>
      </c>
      <c r="P18" t="b">
        <v>0</v>
      </c>
      <c r="Q18" s="9">
        <f>IF(TbCooldown[[#This Row],[Left/Right flag]],TbCooldown[[#This Row],[Position Time]]*2,TbCooldown[[#This Row],[Position Time]])</f>
        <v>15</v>
      </c>
    </row>
    <row r="19" spans="4:17" x14ac:dyDescent="0.25">
      <c r="D19" t="s">
        <v>61</v>
      </c>
      <c r="E19">
        <v>15</v>
      </c>
      <c r="F19" t="b">
        <v>0</v>
      </c>
      <c r="G19">
        <f>IF(TbWarmUp[[#This Row],[Left/Right flag]],TbWarmUp[[#This Row],[Position Time]]*2,TbWarmUp[[#This Row],[Position Time]])</f>
        <v>15</v>
      </c>
      <c r="I19" t="s">
        <v>39</v>
      </c>
      <c r="J19">
        <v>15</v>
      </c>
      <c r="K19" t="b">
        <v>0</v>
      </c>
      <c r="L19">
        <f>IF(TbActive[[#This Row],[Left/Right flag]],TbActive[[#This Row],[Position Time]]*2,TbActive[[#This Row],[Position Time]])</f>
        <v>15</v>
      </c>
      <c r="N19" t="s">
        <v>57</v>
      </c>
      <c r="O19">
        <v>15</v>
      </c>
      <c r="P19" t="b">
        <v>0</v>
      </c>
      <c r="Q19" s="9">
        <f>IF(TbCooldown[[#This Row],[Left/Right flag]],TbCooldown[[#This Row],[Position Time]]*2,TbCooldown[[#This Row],[Position Time]])</f>
        <v>15</v>
      </c>
    </row>
    <row r="20" spans="4:17" x14ac:dyDescent="0.25">
      <c r="D20" t="s">
        <v>62</v>
      </c>
      <c r="E20">
        <v>15</v>
      </c>
      <c r="F20" t="b">
        <v>0</v>
      </c>
      <c r="G20">
        <f>IF(TbWarmUp[[#This Row],[Left/Right flag]],TbWarmUp[[#This Row],[Position Time]]*2,TbWarmUp[[#This Row],[Position Time]])</f>
        <v>15</v>
      </c>
      <c r="I20" t="s">
        <v>41</v>
      </c>
      <c r="J20">
        <v>15</v>
      </c>
      <c r="K20" t="b">
        <v>0</v>
      </c>
      <c r="L20">
        <f>IF(TbActive[[#This Row],[Left/Right flag]],TbActive[[#This Row],[Position Time]]*2,TbActive[[#This Row],[Position Time]])</f>
        <v>15</v>
      </c>
      <c r="N20" t="s">
        <v>57</v>
      </c>
      <c r="O20">
        <v>15</v>
      </c>
      <c r="P20" t="b">
        <v>0</v>
      </c>
      <c r="Q20" s="9">
        <f>IF(TbCooldown[[#This Row],[Left/Right flag]],TbCooldown[[#This Row],[Position Time]]*2,TbCooldown[[#This Row],[Position Time]])</f>
        <v>15</v>
      </c>
    </row>
    <row r="21" spans="4:17" x14ac:dyDescent="0.25">
      <c r="D21" t="s">
        <v>72</v>
      </c>
      <c r="E21">
        <v>30</v>
      </c>
      <c r="F21" t="b">
        <v>0</v>
      </c>
      <c r="G21">
        <f>IF(TbWarmUp[[#This Row],[Left/Right flag]],TbWarmUp[[#This Row],[Position Time]]*2,TbWarmUp[[#This Row],[Position Time]])</f>
        <v>30</v>
      </c>
      <c r="I21" t="s">
        <v>43</v>
      </c>
      <c r="J21">
        <v>15</v>
      </c>
      <c r="K21" t="b">
        <v>0</v>
      </c>
      <c r="L21">
        <f>IF(TbActive[[#This Row],[Left/Right flag]],TbActive[[#This Row],[Position Time]]*2,TbActive[[#This Row],[Position Time]])</f>
        <v>15</v>
      </c>
      <c r="N21" t="s">
        <v>59</v>
      </c>
      <c r="O21">
        <v>30</v>
      </c>
      <c r="P21" t="b">
        <v>0</v>
      </c>
      <c r="Q21" s="9">
        <f>IF(TbCooldown[[#This Row],[Left/Right flag]],TbCooldown[[#This Row],[Position Time]]*2,TbCooldown[[#This Row],[Position Time]])</f>
        <v>30</v>
      </c>
    </row>
    <row r="22" spans="4:17" x14ac:dyDescent="0.25">
      <c r="I22" t="s">
        <v>44</v>
      </c>
      <c r="J22">
        <v>15</v>
      </c>
      <c r="K22" t="b">
        <v>0</v>
      </c>
      <c r="L22">
        <f>IF(TbActive[[#This Row],[Left/Right flag]],TbActive[[#This Row],[Position Time]]*2,TbActive[[#This Row],[Position Time]])</f>
        <v>15</v>
      </c>
      <c r="N22" t="s">
        <v>59</v>
      </c>
      <c r="O22">
        <v>30</v>
      </c>
      <c r="P22" t="b">
        <v>0</v>
      </c>
      <c r="Q22" s="9">
        <f>IF(TbCooldown[[#This Row],[Left/Right flag]],TbCooldown[[#This Row],[Position Time]]*2,TbCooldown[[#This Row],[Position Time]])</f>
        <v>30</v>
      </c>
    </row>
    <row r="23" spans="4:17" x14ac:dyDescent="0.25">
      <c r="I23" t="s">
        <v>45</v>
      </c>
      <c r="J23">
        <v>15</v>
      </c>
      <c r="K23" t="b">
        <v>0</v>
      </c>
      <c r="L23">
        <f>IF(TbActive[[#This Row],[Left/Right flag]],TbActive[[#This Row],[Position Time]]*2,TbActive[[#This Row],[Position Time]])</f>
        <v>15</v>
      </c>
      <c r="N23" t="s">
        <v>59</v>
      </c>
      <c r="O23">
        <v>30</v>
      </c>
      <c r="P23" t="b">
        <v>0</v>
      </c>
      <c r="Q23" s="9">
        <f>IF(TbCooldown[[#This Row],[Left/Right flag]],TbCooldown[[#This Row],[Position Time]]*2,TbCooldown[[#This Row],[Position Time]])</f>
        <v>30</v>
      </c>
    </row>
    <row r="24" spans="4:17" x14ac:dyDescent="0.25">
      <c r="I24" t="s">
        <v>46</v>
      </c>
      <c r="J24">
        <v>15</v>
      </c>
      <c r="K24" t="b">
        <v>1</v>
      </c>
      <c r="L24">
        <f>IF(TbActive[[#This Row],[Left/Right flag]],TbActive[[#This Row],[Position Time]]*2,TbActive[[#This Row],[Position Time]])</f>
        <v>30</v>
      </c>
    </row>
    <row r="25" spans="4:17" x14ac:dyDescent="0.25">
      <c r="I25" t="s">
        <v>48</v>
      </c>
      <c r="J25">
        <v>15</v>
      </c>
      <c r="K25" t="b">
        <v>1</v>
      </c>
      <c r="L25">
        <f>IF(TbActive[[#This Row],[Left/Right flag]],TbActive[[#This Row],[Position Time]]*2,TbActive[[#This Row],[Position Time]])</f>
        <v>30</v>
      </c>
    </row>
    <row r="26" spans="4:17" x14ac:dyDescent="0.25">
      <c r="I26" t="s">
        <v>51</v>
      </c>
      <c r="J26">
        <v>15</v>
      </c>
      <c r="K26" t="b">
        <v>0</v>
      </c>
      <c r="L26">
        <f>IF(TbActive[[#This Row],[Left/Right flag]],TbActive[[#This Row],[Position Time]]*2,TbActive[[#This Row],[Position Time]])</f>
        <v>15</v>
      </c>
    </row>
    <row r="27" spans="4:17" x14ac:dyDescent="0.25">
      <c r="I27" t="s">
        <v>52</v>
      </c>
      <c r="J27">
        <v>15</v>
      </c>
      <c r="K27" t="b">
        <v>0</v>
      </c>
      <c r="L27">
        <f>IF(TbActive[[#This Row],[Left/Right flag]],TbActive[[#This Row],[Position Time]]*2,TbActive[[#This Row],[Position Time]])</f>
        <v>15</v>
      </c>
    </row>
    <row r="28" spans="4:17" x14ac:dyDescent="0.25">
      <c r="I28" t="s">
        <v>53</v>
      </c>
      <c r="J28">
        <v>15</v>
      </c>
      <c r="K28" t="b">
        <v>0</v>
      </c>
      <c r="L28">
        <f>IF(TbActive[[#This Row],[Left/Right flag]],TbActive[[#This Row],[Position Time]]*2,TbActive[[#This Row],[Position Time]])</f>
        <v>15</v>
      </c>
    </row>
    <row r="29" spans="4:17" x14ac:dyDescent="0.25">
      <c r="I29" t="s">
        <v>54</v>
      </c>
      <c r="J29">
        <v>15</v>
      </c>
      <c r="K29" t="b">
        <v>0</v>
      </c>
      <c r="L29">
        <f>IF(TbActive[[#This Row],[Left/Right flag]],TbActive[[#This Row],[Position Time]]*2,TbActive[[#This Row],[Position Time]])</f>
        <v>15</v>
      </c>
    </row>
    <row r="30" spans="4:17" x14ac:dyDescent="0.25">
      <c r="I30" t="s">
        <v>56</v>
      </c>
      <c r="J30">
        <v>15</v>
      </c>
      <c r="K30" t="b">
        <v>0</v>
      </c>
      <c r="L30">
        <f>IF(TbActive[[#This Row],[Left/Right flag]],TbActive[[#This Row],[Position Time]]*2,TbActive[[#This Row],[Position Time]])</f>
        <v>15</v>
      </c>
    </row>
    <row r="31" spans="4:17" x14ac:dyDescent="0.25">
      <c r="I31" t="s">
        <v>60</v>
      </c>
      <c r="J31">
        <v>15</v>
      </c>
      <c r="K31" t="b">
        <v>0</v>
      </c>
      <c r="L31">
        <f>IF(TbActive[[#This Row],[Left/Right flag]],TbActive[[#This Row],[Position Time]]*2,TbActive[[#This Row],[Position Time]])</f>
        <v>15</v>
      </c>
    </row>
    <row r="32" spans="4:17" x14ac:dyDescent="0.25">
      <c r="I32" t="s">
        <v>63</v>
      </c>
      <c r="J32">
        <v>15</v>
      </c>
      <c r="K32" t="b">
        <v>1</v>
      </c>
      <c r="L32">
        <f>IF(TbActive[[#This Row],[Left/Right flag]],TbActive[[#This Row],[Position Time]]*2,TbActive[[#This Row],[Position Time]])</f>
        <v>30</v>
      </c>
    </row>
    <row r="33" spans="9:12" x14ac:dyDescent="0.25">
      <c r="I33" t="s">
        <v>64</v>
      </c>
      <c r="J33">
        <v>15</v>
      </c>
      <c r="K33" t="b">
        <v>1</v>
      </c>
      <c r="L33">
        <f>IF(TbActive[[#This Row],[Left/Right flag]],TbActive[[#This Row],[Position Time]]*2,TbActive[[#This Row],[Position Time]])</f>
        <v>30</v>
      </c>
    </row>
    <row r="34" spans="9:12" x14ac:dyDescent="0.25">
      <c r="I34" t="s">
        <v>69</v>
      </c>
      <c r="J34">
        <v>15</v>
      </c>
      <c r="K34" t="b">
        <v>1</v>
      </c>
      <c r="L34">
        <f>IF(TbActive[[#This Row],[Left/Right flag]],TbActive[[#This Row],[Position Time]]*2,TbActive[[#This Row],[Position Time]])</f>
        <v>30</v>
      </c>
    </row>
    <row r="35" spans="9:12" x14ac:dyDescent="0.25">
      <c r="I35" t="s">
        <v>70</v>
      </c>
      <c r="J35">
        <v>15</v>
      </c>
      <c r="K35" t="b">
        <v>1</v>
      </c>
      <c r="L35">
        <f>IF(TbActive[[#This Row],[Left/Right flag]],TbActive[[#This Row],[Position Time]]*2,TbActive[[#This Row],[Position Time]])</f>
        <v>30</v>
      </c>
    </row>
    <row r="36" spans="9:12" x14ac:dyDescent="0.25">
      <c r="I36" t="s">
        <v>71</v>
      </c>
      <c r="J36">
        <v>15</v>
      </c>
      <c r="K36" t="b">
        <v>1</v>
      </c>
      <c r="L36">
        <f>IF(TbActive[[#This Row],[Left/Right flag]],TbActive[[#This Row],[Position Time]]*2,TbActive[[#This Row],[Position Time]])</f>
        <v>30</v>
      </c>
    </row>
  </sheetData>
  <mergeCells count="1">
    <mergeCell ref="C2:I2"/>
  </mergeCells>
  <dataValidations count="1">
    <dataValidation type="list" allowBlank="1" showInputMessage="1" showErrorMessage="1" sqref="P9:P23 K9:K36 F9:F21" xr:uid="{074A77F4-9B43-497F-8C09-20B832E3E0DB}">
      <formula1>"TRUE, FALSE"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0102-61D5-4843-B599-038A9D2F5A81}">
  <sheetPr codeName="Sheet3"/>
  <dimension ref="A1:H11"/>
  <sheetViews>
    <sheetView showGridLines="0" workbookViewId="0">
      <selection activeCell="C3" sqref="C3"/>
    </sheetView>
  </sheetViews>
  <sheetFormatPr defaultRowHeight="15" x14ac:dyDescent="0.25"/>
  <cols>
    <col min="1" max="1" width="2.85546875" style="1" customWidth="1"/>
    <col min="4" max="4" width="22" bestFit="1" customWidth="1"/>
    <col min="5" max="5" width="24.5703125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8</v>
      </c>
      <c r="D2" s="2"/>
      <c r="E2" s="2"/>
      <c r="F2" s="2"/>
      <c r="G2" s="2"/>
      <c r="H2" s="2"/>
    </row>
    <row r="3" spans="3:8" s="1" customFormat="1" ht="7.5" customHeight="1" x14ac:dyDescent="0.25"/>
    <row r="6" spans="3:8" ht="15.75" thickBot="1" x14ac:dyDescent="0.3"/>
    <row r="7" spans="3:8" x14ac:dyDescent="0.25">
      <c r="D7" s="4" t="s">
        <v>7</v>
      </c>
      <c r="E7" s="6" t="str">
        <f>CoolDown</f>
        <v>Cool Down</v>
      </c>
    </row>
    <row r="8" spans="3:8" x14ac:dyDescent="0.25">
      <c r="D8" s="3" t="s">
        <v>8</v>
      </c>
      <c r="E8" s="7">
        <f ca="1">RANDBETWEEN(1,
IF(Current_Activity=WarmUp,COUNTA(TbWarmUp[Position name]),
IF(Current_Activity=Active,COUNTA(TbActive[Position name]),
IF(Current_Activity=CoolDown,COUNTA(TbCooldown[Position name])))))</f>
        <v>8</v>
      </c>
    </row>
    <row r="9" spans="3:8" x14ac:dyDescent="0.25">
      <c r="D9" s="3" t="s">
        <v>9</v>
      </c>
      <c r="E9" s="7" t="str">
        <f ca="1">IF(Current_Activity=WarmUp,INDEX(TbWarmUp[Position name],Randomizer),
IF(Current_Activity=Active,INDEX(TbActive[Position name],Randomizer),
IF(Current_Activity=CoolDown,INDEX(TbCooldown[Position name],Randomizer),"Problem")))</f>
        <v>Child's pose</v>
      </c>
    </row>
    <row r="10" spans="3:8" x14ac:dyDescent="0.25">
      <c r="D10" s="3" t="s">
        <v>10</v>
      </c>
      <c r="E10" s="7">
        <f ca="1">IF(Current_Activity=WarmUp,INDEX(TbWarmUp[Position Time],Randomizer),
IF(Current_Activity=Active,INDEX(TbActive[Position Time],Randomizer),
IF(Current_Activity=CoolDown,INDEX(TbCooldown[Position Time],Randomizer),"Problem")))</f>
        <v>30</v>
      </c>
    </row>
    <row r="11" spans="3:8" ht="15.75" thickBot="1" x14ac:dyDescent="0.3">
      <c r="D11" s="5" t="s">
        <v>11</v>
      </c>
      <c r="E11" s="8" t="b">
        <f ca="1">IF(Current_Activity=WarmUp,INDEX(TbWarmUp[Left/Right flag],Randomizer),
IF(Current_Activity=Active,INDEX(TbActive[Left/Right flag],Randomizer),
IF(Current_Activity=CoolDown,INDEX(TbCooldown[Left/Right flag],Randomizer),"Problem")))</f>
        <v>0</v>
      </c>
    </row>
  </sheetData>
  <mergeCells count="1">
    <mergeCell ref="C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Template</vt:lpstr>
      <vt:lpstr>Class Panel</vt:lpstr>
      <vt:lpstr>Pose Sheet</vt:lpstr>
      <vt:lpstr>Randomizer</vt:lpstr>
      <vt:lpstr>Current_Activity</vt:lpstr>
      <vt:lpstr>Current_Iteration</vt:lpstr>
      <vt:lpstr>Ending_Exercise</vt:lpstr>
      <vt:lpstr>Ending_Exercise_Time</vt:lpstr>
      <vt:lpstr>Left_Right</vt:lpstr>
      <vt:lpstr>Music_Link</vt:lpstr>
      <vt:lpstr>Number_Of_Active_Exercises</vt:lpstr>
      <vt:lpstr>Number_Of_Cooldowns</vt:lpstr>
      <vt:lpstr>Number_Of_Warm_Ups</vt:lpstr>
      <vt:lpstr>Randomizer</vt:lpstr>
      <vt:lpstr>Result</vt:lpstr>
      <vt:lpstr>Starting_Exercise</vt:lpstr>
      <vt:lpstr>Starting_Exercise_Time</vt:lpstr>
      <vt:lpstr>Time</vt:lpstr>
      <vt:lpstr>Voice_Type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2019-05-26T18:32:32Z</dcterms:created>
  <dcterms:modified xsi:type="dcterms:W3CDTF">2019-05-27T22:47:47Z</dcterms:modified>
</cp:coreProperties>
</file>