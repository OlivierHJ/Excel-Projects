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jansen\Documents\"/>
    </mc:Choice>
  </mc:AlternateContent>
  <xr:revisionPtr revIDLastSave="0" documentId="10_ncr:100000_{4B5C9EB5-1466-4AB6-A112-BF96DAACBDD4}" xr6:coauthVersionLast="31" xr6:coauthVersionMax="43" xr10:uidLastSave="{00000000-0000-0000-0000-000000000000}"/>
  <bookViews>
    <workbookView xWindow="0" yWindow="0" windowWidth="24270" windowHeight="11460" activeTab="2" xr2:uid="{CDAA7581-90E2-4BC8-BDDB-FFF1568881F7}"/>
  </bookViews>
  <sheets>
    <sheet name="Cards and locations" sheetId="1" r:id="rId1"/>
    <sheet name="Metrics" sheetId="2" r:id="rId2"/>
    <sheet name="Results" sheetId="3" r:id="rId3"/>
    <sheet name="Analysis" sheetId="6" r:id="rId4"/>
  </sheets>
  <functionGroups builtInGroupCount="19"/>
  <definedNames>
    <definedName name="Blue___Opt_in_hand">Metrics!$D$9</definedName>
    <definedName name="Blue_Sources_needed_in_opening_hand">Metrics!$D$13</definedName>
    <definedName name="Can_play_a_land_this_turn?">Metrics!$D$20</definedName>
    <definedName name="Card_on_top_of_deck?">Metrics!$D$31</definedName>
    <definedName name="Card_on_top_of_deck_position">Metrics!$D$32</definedName>
    <definedName name="Cards_in_hand">Metrics!$D$5</definedName>
    <definedName name="Cards_left_in_deck">Metrics!$D$6</definedName>
    <definedName name="Cards_originally_in_deck">Metrics!$D$4</definedName>
    <definedName name="Do_I_need_to_fetch?">Metrics!$D$41</definedName>
    <definedName name="ExternalData_1" localSheetId="0" hidden="1">'Cards and locations'!$G$1:$K$8</definedName>
    <definedName name="ExternalData_3" localSheetId="0" hidden="1">'Cards and locations'!$T$1:$X$2</definedName>
    <definedName name="Fetch_in_Hand?">Metrics!$D$33</definedName>
    <definedName name="Fetch_in_hand_location">Metrics!$D$34</definedName>
    <definedName name="Fetch_on_field?">Metrics!$D$35</definedName>
    <definedName name="Fetch_on_field_location">Metrics!$D$36</definedName>
    <definedName name="First_fetchable_land_location_in_deck">Metrics!$D$37</definedName>
    <definedName name="First_Opt_in_hand">Metrics!$D$27</definedName>
    <definedName name="First_serum_in_hand">Metrics!$D$40</definedName>
    <definedName name="First_Tapped_land_in_hand">Metrics!$D$25</definedName>
    <definedName name="First_Untapped_Land_in_the_hand">Metrics!$D$24</definedName>
    <definedName name="First_Untapped_Land_on_the_field">Metrics!$D$23</definedName>
    <definedName name="Has_Opt?">Metrics!$D$26</definedName>
    <definedName name="Has_Tapped_Blue">Metrics!$D$17</definedName>
    <definedName name="Has_Untapped_Blue">Metrics!$D$15</definedName>
    <definedName name="Has_Untapped_Blue_on_the_field?">Metrics!$D$11</definedName>
    <definedName name="Keepable_Opening_Hand?">Metrics!$D$14</definedName>
    <definedName name="Lands_on_the_field">Metrics!$D$7</definedName>
    <definedName name="Last_card_in_Hand">Metrics!$D$42</definedName>
    <definedName name="Max_Tapped_Land_left">Metrics!$D$19</definedName>
    <definedName name="Number_of_blue___non_blue_lands_in_hand">Metrics!$D$30</definedName>
    <definedName name="Number_of_Lands_in_hand">Metrics!$D$29</definedName>
    <definedName name="Number_of_Opts_in_hand">Metrics!$D$28</definedName>
    <definedName name="Number_of_Serum_in_hand">Metrics!$D$38</definedName>
    <definedName name="Opt_Factor">Metrics!$D$10</definedName>
    <definedName name="Serum_in_hand?">Metrics!$D$39</definedName>
    <definedName name="Tapped_Blue_in_hand">Metrics!$D$18</definedName>
    <definedName name="Turn">Metrics!$D$8</definedName>
    <definedName name="Untapped_Blue_in_hand">Metrics!$D$16</definedName>
    <definedName name="Untapped_Blue_on_field">Metrics!$D$12</definedName>
    <definedName name="Untapped_Land?">Metrics!$D$22</definedName>
    <definedName name="Victory?">Metrics!$D$21</definedName>
  </definedNames>
  <calcPr calcId="179017" calcOnSave="0"/>
  <pivotCaches>
    <pivotCache cacheId="24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L3" i="1"/>
  <c r="L4" i="1"/>
  <c r="L5" i="1"/>
  <c r="L6" i="1"/>
  <c r="L7" i="1"/>
  <c r="L8" i="1"/>
  <c r="L11" i="3"/>
  <c r="D41" i="2"/>
  <c r="D37" i="2"/>
  <c r="D36" i="2"/>
  <c r="D40" i="2"/>
  <c r="D39" i="2"/>
  <c r="D38" i="2"/>
  <c r="D32" i="2"/>
  <c r="D35" i="2"/>
  <c r="D34" i="2"/>
  <c r="D33" i="2"/>
  <c r="D31" i="2"/>
  <c r="G11" i="6" l="1"/>
  <c r="AB9" i="6"/>
  <c r="AA9" i="6" l="1"/>
  <c r="T9" i="6"/>
  <c r="U9" i="6"/>
  <c r="V9" i="6"/>
  <c r="W9" i="6"/>
  <c r="X9" i="6"/>
  <c r="Y9" i="6"/>
  <c r="Z9" i="6"/>
  <c r="AN10" i="6"/>
  <c r="AO10" i="6"/>
  <c r="Z10" i="6"/>
  <c r="S9" i="6" l="1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D30" i="2"/>
  <c r="D29" i="2"/>
  <c r="D28" i="2"/>
  <c r="L8" i="3"/>
  <c r="L7" i="3"/>
  <c r="D27" i="2"/>
  <c r="L10" i="3" l="1"/>
  <c r="L12" i="3" s="1"/>
  <c r="D14" i="2"/>
  <c r="L9" i="3"/>
  <c r="D26" i="2"/>
  <c r="D17" i="2"/>
  <c r="D25" i="2" s="1"/>
  <c r="D22" i="2"/>
  <c r="D23" i="2" s="1"/>
  <c r="D15" i="2" l="1"/>
  <c r="D24" i="2" s="1"/>
  <c r="D7" i="2"/>
  <c r="D20" i="2" s="1"/>
  <c r="D19" i="2"/>
  <c r="D18" i="2"/>
  <c r="D16" i="2"/>
  <c r="D21" i="2" l="1"/>
  <c r="D12" i="2"/>
  <c r="D11" i="2" s="1"/>
  <c r="D6" i="2"/>
  <c r="D10" i="2" s="1"/>
  <c r="D9" i="2" s="1"/>
  <c r="D5" i="2"/>
  <c r="D42" i="2" s="1"/>
  <c r="D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saveData="1">
    <dbPr connection="Provider=Microsoft.Mashup.OleDb.1;Data Source=$Workbook$;Location=Table1;Extended Properties=&quot;&quot;" command="SELECT * FROM [Table1]"/>
  </connection>
  <connection id="2" xr16:uid="{00000000-0015-0000-FFFF-FFFF01000000}" keepAlive="1" name="Query - Table1 (2)" description="Connection to the 'Table1 (2)' query in the workbook." type="5" refreshedVersion="6" saveData="1">
    <dbPr connection="Provider=Microsoft.Mashup.OleDb.1;Data Source=$Workbook$;Location=Table1 (2);Extended Properties=&quot;&quot;" command="SELECT * FROM [Table1 (2)]"/>
  </connection>
  <connection id="3" xr16:uid="{00000000-0015-0000-FFFF-FFFF02000000}" keepAlive="1" name="Query - Table1 (3)" description="Connection to the 'Table1 (3)' query in the workbook." type="5" refreshedVersion="6" saveData="1">
    <dbPr connection="Provider=Microsoft.Mashup.OleDb.1;Data Source=$Workbook$;Location=Table1 (3);Extended Properties=&quot;&quot;" command="SELECT * FROM [Table1 (3)]"/>
  </connection>
</connections>
</file>

<file path=xl/sharedStrings.xml><?xml version="1.0" encoding="utf-8"?>
<sst xmlns="http://schemas.openxmlformats.org/spreadsheetml/2006/main" count="617" uniqueCount="82">
  <si>
    <t>Blue</t>
  </si>
  <si>
    <t>Opt</t>
  </si>
  <si>
    <t>Other</t>
  </si>
  <si>
    <t>Number</t>
  </si>
  <si>
    <t>Type</t>
  </si>
  <si>
    <t>Location</t>
  </si>
  <si>
    <t>Deck</t>
  </si>
  <si>
    <t>Tapland?</t>
  </si>
  <si>
    <t>No</t>
  </si>
  <si>
    <t>Yes</t>
  </si>
  <si>
    <t>Status</t>
  </si>
  <si>
    <t>Cards in hand</t>
  </si>
  <si>
    <t>Cards originally in deck</t>
  </si>
  <si>
    <t>Cards left in deck</t>
  </si>
  <si>
    <t>Turn</t>
  </si>
  <si>
    <t>Blue + Opt in hand</t>
  </si>
  <si>
    <t>Opt Factor</t>
  </si>
  <si>
    <t>Blue Sources needed in opening hand</t>
  </si>
  <si>
    <t>Keepable Opening Hand?</t>
  </si>
  <si>
    <t>Untapped Blue in hand</t>
  </si>
  <si>
    <t>Tapped Blue in hand</t>
  </si>
  <si>
    <t>Max Tapped Land left</t>
  </si>
  <si>
    <t>Lands on the field</t>
  </si>
  <si>
    <t>Can play a land this turn?</t>
  </si>
  <si>
    <t>Victory?</t>
  </si>
  <si>
    <t>Untapped Blue on field</t>
  </si>
  <si>
    <t>Untapped Land?</t>
  </si>
  <si>
    <t>First Untapped Land on the field</t>
  </si>
  <si>
    <t>Key ID</t>
  </si>
  <si>
    <t>First Untapped Land in the hand</t>
  </si>
  <si>
    <t>First Tapped land in hand</t>
  </si>
  <si>
    <t>Has Tapped Blue</t>
  </si>
  <si>
    <t>Has Opt?</t>
  </si>
  <si>
    <t>Has Untapped Blue in hand</t>
  </si>
  <si>
    <t>Has Untapped Blue on the field?</t>
  </si>
  <si>
    <t>First Opt in hand</t>
  </si>
  <si>
    <t>Play or draw?</t>
  </si>
  <si>
    <t>Opening hand size</t>
  </si>
  <si>
    <t>Success</t>
  </si>
  <si>
    <t>Fail</t>
  </si>
  <si>
    <t>%</t>
  </si>
  <si>
    <t>Row Labels</t>
  </si>
  <si>
    <t>FALSE</t>
  </si>
  <si>
    <t>TRUE</t>
  </si>
  <si>
    <t>Grand Total</t>
  </si>
  <si>
    <t>Count of Victory?</t>
  </si>
  <si>
    <t>Column Labels</t>
  </si>
  <si>
    <t>Number of Opts in hand</t>
  </si>
  <si>
    <t>Opening Hand Lands</t>
  </si>
  <si>
    <t>Opening Hand Opts</t>
  </si>
  <si>
    <t>Non-Blue Land</t>
  </si>
  <si>
    <t>Number of Blue Lands in hand</t>
  </si>
  <si>
    <t>Number of blue + non blue lands in hand</t>
  </si>
  <si>
    <t>Opening Hand Starting Blues</t>
  </si>
  <si>
    <t>1 Total</t>
  </si>
  <si>
    <t>2 Total</t>
  </si>
  <si>
    <t>3 Total</t>
  </si>
  <si>
    <t>4 Total</t>
  </si>
  <si>
    <t>Card on top of deck?</t>
  </si>
  <si>
    <t>Card on top of deck position</t>
  </si>
  <si>
    <t>Fetchland?</t>
  </si>
  <si>
    <t>Fetch in Hand?</t>
  </si>
  <si>
    <t>Fetch in hand location</t>
  </si>
  <si>
    <t>Fetch on field?</t>
  </si>
  <si>
    <t>Fetch on field location</t>
  </si>
  <si>
    <t>First fetchable land location in deck</t>
  </si>
  <si>
    <t>Hand</t>
  </si>
  <si>
    <t>Field</t>
  </si>
  <si>
    <t>Untapped</t>
  </si>
  <si>
    <t>Number of Serum in hand</t>
  </si>
  <si>
    <t>Serum in hand?</t>
  </si>
  <si>
    <t>First serum in hand</t>
  </si>
  <si>
    <t>Turn Sequence</t>
  </si>
  <si>
    <t>Turn Sequence Options</t>
  </si>
  <si>
    <t>Draw</t>
  </si>
  <si>
    <t>Land</t>
  </si>
  <si>
    <t>Serum</t>
  </si>
  <si>
    <t>Do I need to fetch?</t>
  </si>
  <si>
    <t>Last card in Hand</t>
  </si>
  <si>
    <t>Total</t>
  </si>
  <si>
    <t>Kept 7</t>
  </si>
  <si>
    <t>Mulligan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</si>
</sst>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5" xfId="0" applyFill="1" applyBorder="1"/>
    <xf numFmtId="0" fontId="0" fillId="0" borderId="3" xfId="0" applyFill="1" applyBorder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1" applyNumberFormat="1" applyFont="1"/>
    <xf numFmtId="10" fontId="0" fillId="0" borderId="0" xfId="1" applyNumberFormat="1" applyFont="1"/>
    <xf numFmtId="0" fontId="0" fillId="0" borderId="5" xfId="0" applyBorder="1"/>
    <xf numFmtId="9" fontId="0" fillId="0" borderId="6" xfId="1" applyFont="1" applyBorder="1"/>
    <xf numFmtId="0" fontId="0" fillId="0" borderId="0" xfId="0" applyFill="1" applyBorder="1"/>
  </cellXfs>
  <cellStyles count="2">
    <cellStyle name="Normal" xfId="0" builtinId="0"/>
    <cellStyle name="Percent" xfId="1" builtinId="5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685800</xdr:colOff>
      <xdr:row>1</xdr:row>
      <xdr:rowOff>123825</xdr:rowOff>
    </xdr:from>
    <xdr:to>
      <xdr:col>5</xdr:col>
      <xdr:colOff>1171575</xdr:colOff>
      <xdr:row>5</xdr:row>
      <xdr:rowOff>0</xdr:rowOff>
    </xdr:to>
    <xdr:sp macro="[0]!LoopHan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57BEC4-3D7E-4D92-AF38-8D232B526D55}"/>
            </a:ext>
          </a:extLst>
        </xdr:cNvPr>
        <xdr:cNvSpPr/>
      </xdr:nvSpPr>
      <xdr:spPr>
        <a:xfrm>
          <a:off x="3343275" y="676275"/>
          <a:ext cx="1809750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Loop Hands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sen, Olivier" refreshedDate="43629.440100115738" createdVersion="6" refreshedVersion="6" minRefreshableVersion="3" recordCount="44" xr:uid="{C571C202-E370-4C1E-B03D-95F4C71D624F}">
  <cacheSource type="worksheet">
    <worksheetSource name="Results"/>
  </cacheSource>
  <cacheFields count="6">
    <cacheField name="Play or draw?" numFmtId="0">
      <sharedItems count="2">
        <b v="1"/>
        <b v="0"/>
      </sharedItems>
    </cacheField>
    <cacheField name="Opening hand size" numFmtId="0">
      <sharedItems containsSemiMixedTypes="0" containsString="0" containsNumber="1" containsInteger="1" minValue="5" maxValue="7"/>
    </cacheField>
    <cacheField name="Victory?" numFmtId="0">
      <sharedItems count="2">
        <b v="0"/>
        <b v="1"/>
      </sharedItems>
    </cacheField>
    <cacheField name="Opening Hand Lands" numFmtId="0">
      <sharedItems containsSemiMixedTypes="0" containsString="0" containsNumber="1" containsInteger="1" minValue="2" maxValue="5"/>
    </cacheField>
    <cacheField name="Opening Hand Opts" numFmtId="0">
      <sharedItems containsSemiMixedTypes="0" containsString="0" containsNumber="1" containsInteger="1" minValue="0" maxValue="3" count="4">
        <n v="0"/>
        <n v="1"/>
        <n v="2"/>
        <n v="3" u="1"/>
      </sharedItems>
    </cacheField>
    <cacheField name="Opening Hand Starting Blues" numFmtId="0">
      <sharedItems containsSemiMixedTypes="0" containsString="0" containsNumber="1" containsInteger="1" minValue="0" maxValue="5" count="6">
        <n v="2"/>
        <n v="4"/>
        <n v="1"/>
        <n v="3"/>
        <n v="0" u="1"/>
        <n v="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n v="7"/>
    <x v="0"/>
    <n v="2"/>
    <x v="0"/>
    <x v="0"/>
  </r>
  <r>
    <x v="0"/>
    <n v="7"/>
    <x v="1"/>
    <n v="4"/>
    <x v="0"/>
    <x v="1"/>
  </r>
  <r>
    <x v="0"/>
    <n v="5"/>
    <x v="0"/>
    <n v="2"/>
    <x v="0"/>
    <x v="0"/>
  </r>
  <r>
    <x v="1"/>
    <n v="7"/>
    <x v="1"/>
    <n v="3"/>
    <x v="0"/>
    <x v="2"/>
  </r>
  <r>
    <x v="1"/>
    <n v="6"/>
    <x v="0"/>
    <n v="2"/>
    <x v="0"/>
    <x v="2"/>
  </r>
  <r>
    <x v="0"/>
    <n v="7"/>
    <x v="1"/>
    <n v="2"/>
    <x v="1"/>
    <x v="0"/>
  </r>
  <r>
    <x v="1"/>
    <n v="7"/>
    <x v="1"/>
    <n v="5"/>
    <x v="0"/>
    <x v="3"/>
  </r>
  <r>
    <x v="0"/>
    <n v="7"/>
    <x v="0"/>
    <n v="3"/>
    <x v="0"/>
    <x v="0"/>
  </r>
  <r>
    <x v="0"/>
    <n v="7"/>
    <x v="1"/>
    <n v="3"/>
    <x v="0"/>
    <x v="3"/>
  </r>
  <r>
    <x v="0"/>
    <n v="6"/>
    <x v="1"/>
    <n v="3"/>
    <x v="0"/>
    <x v="0"/>
  </r>
  <r>
    <x v="1"/>
    <n v="6"/>
    <x v="1"/>
    <n v="2"/>
    <x v="0"/>
    <x v="0"/>
  </r>
  <r>
    <x v="1"/>
    <n v="6"/>
    <x v="0"/>
    <n v="2"/>
    <x v="0"/>
    <x v="2"/>
  </r>
  <r>
    <x v="0"/>
    <n v="7"/>
    <x v="1"/>
    <n v="5"/>
    <x v="0"/>
    <x v="1"/>
  </r>
  <r>
    <x v="0"/>
    <n v="7"/>
    <x v="1"/>
    <n v="5"/>
    <x v="0"/>
    <x v="1"/>
  </r>
  <r>
    <x v="1"/>
    <n v="5"/>
    <x v="0"/>
    <n v="2"/>
    <x v="1"/>
    <x v="2"/>
  </r>
  <r>
    <x v="0"/>
    <n v="7"/>
    <x v="1"/>
    <n v="2"/>
    <x v="1"/>
    <x v="2"/>
  </r>
  <r>
    <x v="0"/>
    <n v="7"/>
    <x v="1"/>
    <n v="4"/>
    <x v="0"/>
    <x v="3"/>
  </r>
  <r>
    <x v="1"/>
    <n v="7"/>
    <x v="1"/>
    <n v="2"/>
    <x v="1"/>
    <x v="0"/>
  </r>
  <r>
    <x v="0"/>
    <n v="6"/>
    <x v="0"/>
    <n v="2"/>
    <x v="1"/>
    <x v="0"/>
  </r>
  <r>
    <x v="1"/>
    <n v="6"/>
    <x v="1"/>
    <n v="3"/>
    <x v="2"/>
    <x v="0"/>
  </r>
  <r>
    <x v="0"/>
    <n v="6"/>
    <x v="0"/>
    <n v="3"/>
    <x v="0"/>
    <x v="0"/>
  </r>
  <r>
    <x v="0"/>
    <n v="7"/>
    <x v="1"/>
    <n v="5"/>
    <x v="0"/>
    <x v="3"/>
  </r>
  <r>
    <x v="1"/>
    <n v="6"/>
    <x v="1"/>
    <n v="3"/>
    <x v="0"/>
    <x v="3"/>
  </r>
  <r>
    <x v="0"/>
    <n v="7"/>
    <x v="0"/>
    <n v="4"/>
    <x v="0"/>
    <x v="0"/>
  </r>
  <r>
    <x v="1"/>
    <n v="6"/>
    <x v="1"/>
    <n v="4"/>
    <x v="0"/>
    <x v="1"/>
  </r>
  <r>
    <x v="1"/>
    <n v="7"/>
    <x v="1"/>
    <n v="3"/>
    <x v="0"/>
    <x v="0"/>
  </r>
  <r>
    <x v="0"/>
    <n v="7"/>
    <x v="0"/>
    <n v="2"/>
    <x v="0"/>
    <x v="0"/>
  </r>
  <r>
    <x v="0"/>
    <n v="7"/>
    <x v="1"/>
    <n v="4"/>
    <x v="0"/>
    <x v="3"/>
  </r>
  <r>
    <x v="1"/>
    <n v="6"/>
    <x v="1"/>
    <n v="3"/>
    <x v="0"/>
    <x v="3"/>
  </r>
  <r>
    <x v="1"/>
    <n v="7"/>
    <x v="0"/>
    <n v="3"/>
    <x v="0"/>
    <x v="0"/>
  </r>
  <r>
    <x v="0"/>
    <n v="7"/>
    <x v="0"/>
    <n v="2"/>
    <x v="1"/>
    <x v="2"/>
  </r>
  <r>
    <x v="0"/>
    <n v="7"/>
    <x v="0"/>
    <n v="2"/>
    <x v="0"/>
    <x v="0"/>
  </r>
  <r>
    <x v="0"/>
    <n v="7"/>
    <x v="0"/>
    <n v="2"/>
    <x v="0"/>
    <x v="0"/>
  </r>
  <r>
    <x v="0"/>
    <n v="6"/>
    <x v="1"/>
    <n v="4"/>
    <x v="0"/>
    <x v="0"/>
  </r>
  <r>
    <x v="0"/>
    <n v="7"/>
    <x v="1"/>
    <n v="2"/>
    <x v="2"/>
    <x v="0"/>
  </r>
  <r>
    <x v="1"/>
    <n v="6"/>
    <x v="1"/>
    <n v="3"/>
    <x v="1"/>
    <x v="3"/>
  </r>
  <r>
    <x v="0"/>
    <n v="7"/>
    <x v="1"/>
    <n v="3"/>
    <x v="0"/>
    <x v="0"/>
  </r>
  <r>
    <x v="0"/>
    <n v="7"/>
    <x v="1"/>
    <n v="3"/>
    <x v="0"/>
    <x v="3"/>
  </r>
  <r>
    <x v="1"/>
    <n v="6"/>
    <x v="1"/>
    <n v="3"/>
    <x v="0"/>
    <x v="0"/>
  </r>
  <r>
    <x v="0"/>
    <n v="6"/>
    <x v="0"/>
    <n v="2"/>
    <x v="0"/>
    <x v="2"/>
  </r>
  <r>
    <x v="1"/>
    <n v="7"/>
    <x v="1"/>
    <n v="4"/>
    <x v="0"/>
    <x v="3"/>
  </r>
  <r>
    <x v="0"/>
    <n v="7"/>
    <x v="1"/>
    <n v="3"/>
    <x v="0"/>
    <x v="0"/>
  </r>
  <r>
    <x v="0"/>
    <n v="7"/>
    <x v="1"/>
    <n v="3"/>
    <x v="0"/>
    <x v="3"/>
  </r>
  <r>
    <x v="1"/>
    <n v="7"/>
    <x v="0"/>
    <n v="2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013B7A-7FD8-4329-8439-02FE1F5A92F7}" name="PivotTable1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M5:AP9" firstHeaderRow="1" firstDataRow="2" firstDataCol="1"/>
  <pivotFields count="6">
    <pivotField axis="axisCol" showAll="0">
      <items count="3">
        <item x="1"/>
        <item x="0"/>
        <item t="default"/>
      </items>
    </pivotField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ount of Victory?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7D0BCD-FACB-485E-B5C2-4EC2283F56D0}" name="PivotTable4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N8" firstHeaderRow="1" firstDataRow="3" firstDataCol="1"/>
  <pivotFields count="6"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axis="axisCol" showAll="0">
      <items count="5">
        <item x="0"/>
        <item x="1"/>
        <item x="2"/>
        <item m="1" x="3"/>
        <item t="default"/>
      </items>
    </pivotField>
    <pivotField axis="axisCol" showAll="0">
      <items count="7">
        <item x="2"/>
        <item x="0"/>
        <item x="3"/>
        <item x="1"/>
        <item m="1" x="5"/>
        <item m="1" x="4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2">
    <field x="5"/>
    <field x="4"/>
  </colFields>
  <colItems count="13">
    <i>
      <x/>
      <x/>
    </i>
    <i r="1">
      <x v="1"/>
    </i>
    <i t="default">
      <x/>
    </i>
    <i>
      <x v="1"/>
      <x/>
    </i>
    <i r="1">
      <x v="1"/>
    </i>
    <i r="1">
      <x v="2"/>
    </i>
    <i t="default">
      <x v="1"/>
    </i>
    <i>
      <x v="2"/>
      <x/>
    </i>
    <i r="1">
      <x v="1"/>
    </i>
    <i t="default">
      <x v="2"/>
    </i>
    <i>
      <x v="3"/>
      <x/>
    </i>
    <i t="default">
      <x v="3"/>
    </i>
    <i t="grand">
      <x/>
    </i>
  </colItems>
  <dataFields count="1">
    <dataField name="Count of Victory?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000-000000000000}" autoFormatId="16" applyNumberFormats="0" applyBorderFormats="0" applyFontFormats="0" applyPatternFormats="0" applyAlignmentFormats="0" applyWidthHeightFormats="0">
  <queryTableRefresh nextId="8" unboundColumnsRight="1">
    <queryTableFields count="6">
      <queryTableField id="1" name="Number" tableColumnId="1"/>
      <queryTableField id="2" name="Type" tableColumnId="2"/>
      <queryTableField id="3" name="Tapland?" tableColumnId="3"/>
      <queryTableField id="6" name="Fetchland?" tableColumnId="6"/>
      <queryTableField id="4" name="Location" tableColumnId="4"/>
      <queryTableField id="5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00000000-0016-0000-0000-000002000000}" autoFormatId="16" applyNumberFormats="0" applyBorderFormats="0" applyFontFormats="0" applyPatternFormats="0" applyAlignmentFormats="0" applyWidthHeightFormats="0">
  <queryTableRefresh nextId="8" unboundColumnsRight="1">
    <queryTableFields count="6">
      <queryTableField id="1" name="Number" tableColumnId="1"/>
      <queryTableField id="2" name="Type" tableColumnId="2"/>
      <queryTableField id="3" name="Tapland?" tableColumnId="3"/>
      <queryTableField id="6" name="Fetchland?" tableColumnId="6"/>
      <queryTableField id="4" name="Location" tableColumnId="4"/>
      <queryTableField id="5" dataBound="0" tableColumnId="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C53E42-FDBB-4C27-8ECE-8CB2417B7C99}" name="Master" displayName="Master" ref="A1:E61" totalsRowShown="0">
  <autoFilter ref="A1:E61" xr:uid="{F09ABFC7-6D0F-4850-8E2F-CC7D0E2EAA63}"/>
  <tableColumns count="5">
    <tableColumn id="1" xr3:uid="{3D6E0F46-481A-4B9C-89D6-C4FF1CC0560F}" name="Number"/>
    <tableColumn id="2" xr3:uid="{F5B2FC41-EF38-4F85-89DB-A811CB52F92C}" name="Type"/>
    <tableColumn id="6" xr3:uid="{44FC8FB5-9D25-4C85-BCE5-42752E461E96}" name="Tapland?"/>
    <tableColumn id="4" xr3:uid="{8AB948C5-D252-4CFB-ACE8-13553E574264}" name="Fetchland?"/>
    <tableColumn id="3" xr3:uid="{13610B24-1AD2-4469-A771-E8940008E289}" name="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C9E122-0C14-4274-9479-B11565165F73}" name="Deck" displayName="Deck" ref="N1:R61" totalsRowShown="0">
  <autoFilter ref="N1:R61" xr:uid="{FB414557-C844-48D5-947B-20FE1BA750C4}"/>
  <tableColumns count="5">
    <tableColumn id="1" xr3:uid="{57EDB934-C19C-4639-BAE0-8373A2D412AC}" name="Number"/>
    <tableColumn id="2" xr3:uid="{ED507A91-D75F-4BC8-8858-FE653ADAE207}" name="Type"/>
    <tableColumn id="3" xr3:uid="{18E17D20-49B7-49A3-98AA-4FDEF6037EC7}" name="Tapland?"/>
    <tableColumn id="5" xr3:uid="{1A5C0CF4-3096-4CF8-BB56-39AABF916918}" name="Fetchland?"/>
    <tableColumn id="4" xr3:uid="{8991C17D-2E6E-4DA1-819C-5AF8D4A834A3}" name="Locatio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57EFE4-CE1B-4376-9748-8D6D8C943994}" name="Hand" displayName="Hand" ref="G1:L8" tableType="queryTable" totalsRowShown="0">
  <autoFilter ref="G1:L8" xr:uid="{58872D2E-CE18-480A-93AD-AB75B9C5DDEF}"/>
  <tableColumns count="6">
    <tableColumn id="1" xr3:uid="{A3E2852C-DAFB-4BAA-B16C-EA8B4C8F206E}" uniqueName="1" name="Number" queryTableFieldId="1"/>
    <tableColumn id="2" xr3:uid="{B0999CB4-C00D-4927-B084-92CBB44BEB6D}" uniqueName="2" name="Type" queryTableFieldId="2"/>
    <tableColumn id="3" xr3:uid="{5CC8BE4F-168A-480F-868C-F317E8C74C69}" uniqueName="3" name="Tapland?" queryTableFieldId="3"/>
    <tableColumn id="6" xr3:uid="{8EA4DE0C-5919-452F-8CB9-FB352A929444}" uniqueName="6" name="Fetchland?" queryTableFieldId="6"/>
    <tableColumn id="4" xr3:uid="{E8AEBCBD-11E2-45CA-AD14-DA5CE02D9912}" uniqueName="4" name="Location" queryTableFieldId="4"/>
    <tableColumn id="5" xr3:uid="{E47DBC02-9A4E-4D8B-A353-5BA0BD2C9798}" uniqueName="5" name="Key ID" queryTableFieldId="5" dataDxfId="0">
      <calculatedColumnFormula>Hand[[#This Row],[Type]]&amp;Hand[[#This Row],[Tapland?]]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3230CA-0B5D-49D2-B14E-4B94753D9DCA}" name="Field" displayName="Field" ref="T1:Y2" tableType="queryTable" totalsRowShown="0">
  <autoFilter ref="T1:Y2" xr:uid="{0AE8B4A0-AC3A-4C46-87E7-851E71D95665}"/>
  <tableColumns count="6">
    <tableColumn id="1" xr3:uid="{B76D8176-25D0-44F4-A2D2-7CD537B0223B}" uniqueName="1" name="Number" queryTableFieldId="1"/>
    <tableColumn id="2" xr3:uid="{6714FBC7-2418-4C12-AE14-716201097881}" uniqueName="2" name="Type" queryTableFieldId="2"/>
    <tableColumn id="3" xr3:uid="{116D9103-71C8-47B3-A08E-A3DF2A6A929C}" uniqueName="3" name="Tapland?" queryTableFieldId="3"/>
    <tableColumn id="6" xr3:uid="{A32220AC-51CA-42E9-BFF8-024D066603C0}" uniqueName="6" name="Fetchland?" queryTableFieldId="6"/>
    <tableColumn id="4" xr3:uid="{68DD831B-2A10-4473-A143-C5DF4136944E}" uniqueName="4" name="Location" queryTableFieldId="4"/>
    <tableColumn id="5" xr3:uid="{D0CB21B2-9BB3-423B-A075-10E4BF6BB851}" uniqueName="5" name="Status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8BCF19-5591-44FA-AE6B-3E6A3E771331}" name="TableSequenceOptions" displayName="TableSequenceOptions" ref="L4:L8" totalsRowShown="0">
  <autoFilter ref="L4:L8" xr:uid="{16BDF8C7-7AFD-4598-9940-D44F68D82010}"/>
  <tableColumns count="1">
    <tableColumn id="1" xr3:uid="{2C25D4DC-7C16-404E-83AA-0574ADE5DB58}" name="Turn Sequence Op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6DB06E-5454-4477-9BB8-E5E324E05A4E}" name="TurnSequence" displayName="TurnSequence" ref="F4:F9" totalsRowShown="0">
  <autoFilter ref="F4:F9" xr:uid="{C494AC1A-2C10-4333-8633-AE28304FD5E6}"/>
  <tableColumns count="1">
    <tableColumn id="1" xr3:uid="{0163655B-7E22-4423-BEED-8490AA917CD6}" name="Turn Sequen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7E96D8-837F-4E36-BEB9-2C15A5CEB347}" name="Results" displayName="Results" ref="D7:I17" totalsRowShown="0">
  <autoFilter ref="D7:I17" xr:uid="{7F178044-B5AF-43BE-B5C3-A0D7E9080582}"/>
  <tableColumns count="6">
    <tableColumn id="2" xr3:uid="{86AC23D6-0CD5-48EB-A0EE-41BB8612353D}" name="Play or draw?"/>
    <tableColumn id="3" xr3:uid="{51F5B58F-01DA-4A9B-B934-66D68F52F6F2}" name="Opening hand size"/>
    <tableColumn id="4" xr3:uid="{5B91940A-D2D3-45C1-A968-4E22AE6FAFD2}" name="Victory?"/>
    <tableColumn id="6" xr3:uid="{02766E8D-1217-46BB-A610-994912279611}" name="Opening Hand Lands"/>
    <tableColumn id="7" xr3:uid="{65B014BF-D3C3-4399-B6F0-598F35E4C535}" name="Opening Hand Opts"/>
    <tableColumn id="8" xr3:uid="{D90EC6B0-9C99-4E6E-A96C-EE42BF70E3D2}" name="Opening Hand Starting Blu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C3D0-4709-4E6A-92C1-058A12C13D0C}">
  <sheetPr codeName="shCards"/>
  <dimension ref="A1:Y61"/>
  <sheetViews>
    <sheetView showGridLines="0" workbookViewId="0">
      <selection activeCell="H14" sqref="H14:H16"/>
    </sheetView>
  </sheetViews>
  <sheetFormatPr defaultRowHeight="15" x14ac:dyDescent="0.25"/>
  <cols>
    <col min="1" max="1" width="10.42578125" customWidth="1"/>
    <col min="2" max="2" width="10.5703125" bestFit="1" customWidth="1"/>
    <col min="3" max="5" width="10.5703125" customWidth="1"/>
    <col min="7" max="7" width="10.5703125" bestFit="1" customWidth="1"/>
    <col min="8" max="8" width="14.28515625" bestFit="1" customWidth="1"/>
    <col min="9" max="9" width="11.28515625" bestFit="1" customWidth="1"/>
    <col min="10" max="10" width="13" bestFit="1" customWidth="1"/>
    <col min="11" max="11" width="10.7109375" bestFit="1" customWidth="1"/>
    <col min="12" max="12" width="16.85546875" bestFit="1" customWidth="1"/>
    <col min="14" max="14" width="10.5703125" bestFit="1" customWidth="1"/>
    <col min="15" max="15" width="14.28515625" bestFit="1" customWidth="1"/>
    <col min="16" max="16" width="11.28515625" bestFit="1" customWidth="1"/>
    <col min="17" max="17" width="13" bestFit="1" customWidth="1"/>
    <col min="18" max="18" width="10.7109375" bestFit="1" customWidth="1"/>
    <col min="19" max="19" width="8.7109375" bestFit="1" customWidth="1"/>
    <col min="20" max="20" width="10.5703125" bestFit="1" customWidth="1"/>
    <col min="21" max="21" width="7.5703125" bestFit="1" customWidth="1"/>
    <col min="22" max="22" width="11.28515625" bestFit="1" customWidth="1"/>
    <col min="23" max="23" width="13" bestFit="1" customWidth="1"/>
    <col min="24" max="24" width="10.7109375" bestFit="1" customWidth="1"/>
    <col min="25" max="26" width="8.7109375" bestFit="1" customWidth="1"/>
  </cols>
  <sheetData>
    <row r="1" spans="1:25" x14ac:dyDescent="0.25">
      <c r="A1" t="s">
        <v>3</v>
      </c>
      <c r="B1" t="s">
        <v>4</v>
      </c>
      <c r="C1" t="s">
        <v>7</v>
      </c>
      <c r="D1" t="s">
        <v>60</v>
      </c>
      <c r="E1" t="s">
        <v>5</v>
      </c>
      <c r="G1" t="s">
        <v>3</v>
      </c>
      <c r="H1" t="s">
        <v>4</v>
      </c>
      <c r="I1" t="s">
        <v>7</v>
      </c>
      <c r="J1" t="s">
        <v>60</v>
      </c>
      <c r="K1" t="s">
        <v>5</v>
      </c>
      <c r="L1" t="s">
        <v>28</v>
      </c>
      <c r="N1" t="s">
        <v>3</v>
      </c>
      <c r="O1" t="s">
        <v>4</v>
      </c>
      <c r="P1" t="s">
        <v>7</v>
      </c>
      <c r="Q1" t="s">
        <v>60</v>
      </c>
      <c r="R1" t="s">
        <v>5</v>
      </c>
      <c r="T1" t="s">
        <v>3</v>
      </c>
      <c r="U1" t="s">
        <v>4</v>
      </c>
      <c r="V1" t="s">
        <v>7</v>
      </c>
      <c r="W1" t="s">
        <v>60</v>
      </c>
      <c r="X1" t="s">
        <v>5</v>
      </c>
      <c r="Y1" t="s">
        <v>10</v>
      </c>
    </row>
    <row r="2" spans="1:25" x14ac:dyDescent="0.25">
      <c r="A2">
        <v>1</v>
      </c>
      <c r="B2" t="s">
        <v>0</v>
      </c>
      <c r="C2" t="s">
        <v>8</v>
      </c>
      <c r="D2" t="s">
        <v>8</v>
      </c>
      <c r="E2" t="s">
        <v>67</v>
      </c>
      <c r="G2">
        <v>11</v>
      </c>
      <c r="H2" t="s">
        <v>0</v>
      </c>
      <c r="I2" t="s">
        <v>8</v>
      </c>
      <c r="J2" t="s">
        <v>9</v>
      </c>
      <c r="K2" t="s">
        <v>66</v>
      </c>
      <c r="L2" s="12" t="str">
        <f>Hand[[#This Row],[Type]]&amp;Hand[[#This Row],[Tapland?]]</f>
        <v>BlueNo</v>
      </c>
      <c r="N2">
        <v>1</v>
      </c>
      <c r="O2" t="s">
        <v>0</v>
      </c>
      <c r="P2" t="s">
        <v>8</v>
      </c>
      <c r="Q2" t="s">
        <v>8</v>
      </c>
      <c r="R2" t="s">
        <v>6</v>
      </c>
      <c r="T2">
        <v>1</v>
      </c>
      <c r="U2" t="s">
        <v>0</v>
      </c>
      <c r="V2" t="s">
        <v>8</v>
      </c>
      <c r="W2" t="s">
        <v>8</v>
      </c>
      <c r="X2" t="s">
        <v>67</v>
      </c>
      <c r="Y2" t="s">
        <v>68</v>
      </c>
    </row>
    <row r="3" spans="1:25" x14ac:dyDescent="0.25">
      <c r="A3">
        <v>2</v>
      </c>
      <c r="B3" t="s">
        <v>0</v>
      </c>
      <c r="C3" t="s">
        <v>8</v>
      </c>
      <c r="D3" t="s">
        <v>8</v>
      </c>
      <c r="E3" t="s">
        <v>6</v>
      </c>
      <c r="G3">
        <v>12</v>
      </c>
      <c r="H3" t="s">
        <v>0</v>
      </c>
      <c r="I3" t="s">
        <v>8</v>
      </c>
      <c r="J3" t="s">
        <v>9</v>
      </c>
      <c r="K3" t="s">
        <v>66</v>
      </c>
      <c r="L3" s="12" t="str">
        <f>Hand[[#This Row],[Type]]&amp;Hand[[#This Row],[Tapland?]]</f>
        <v>BlueNo</v>
      </c>
      <c r="N3">
        <v>2</v>
      </c>
      <c r="O3" t="s">
        <v>0</v>
      </c>
      <c r="P3" t="s">
        <v>8</v>
      </c>
      <c r="Q3" t="s">
        <v>8</v>
      </c>
      <c r="R3" t="s">
        <v>6</v>
      </c>
    </row>
    <row r="4" spans="1:25" x14ac:dyDescent="0.25">
      <c r="A4">
        <v>3</v>
      </c>
      <c r="B4" t="s">
        <v>0</v>
      </c>
      <c r="C4" t="s">
        <v>8</v>
      </c>
      <c r="D4" t="s">
        <v>8</v>
      </c>
      <c r="E4" t="s">
        <v>6</v>
      </c>
      <c r="G4">
        <v>27</v>
      </c>
      <c r="H4" t="s">
        <v>50</v>
      </c>
      <c r="I4" t="s">
        <v>8</v>
      </c>
      <c r="J4" t="s">
        <v>8</v>
      </c>
      <c r="K4" t="s">
        <v>66</v>
      </c>
      <c r="L4" s="12" t="str">
        <f>Hand[[#This Row],[Type]]&amp;Hand[[#This Row],[Tapland?]]</f>
        <v>Non-Blue LandNo</v>
      </c>
      <c r="N4">
        <v>3</v>
      </c>
      <c r="O4" t="s">
        <v>0</v>
      </c>
      <c r="P4" t="s">
        <v>8</v>
      </c>
      <c r="Q4" t="s">
        <v>8</v>
      </c>
      <c r="R4" t="s">
        <v>6</v>
      </c>
    </row>
    <row r="5" spans="1:25" x14ac:dyDescent="0.25">
      <c r="A5">
        <v>4</v>
      </c>
      <c r="B5" t="s">
        <v>0</v>
      </c>
      <c r="C5" t="s">
        <v>8</v>
      </c>
      <c r="D5" t="s">
        <v>8</v>
      </c>
      <c r="E5" t="s">
        <v>6</v>
      </c>
      <c r="G5">
        <v>32</v>
      </c>
      <c r="H5" t="s">
        <v>2</v>
      </c>
      <c r="I5" t="s">
        <v>8</v>
      </c>
      <c r="J5" t="s">
        <v>8</v>
      </c>
      <c r="K5" t="s">
        <v>66</v>
      </c>
      <c r="L5" s="12" t="str">
        <f>Hand[[#This Row],[Type]]&amp;Hand[[#This Row],[Tapland?]]</f>
        <v>OtherNo</v>
      </c>
      <c r="N5">
        <v>4</v>
      </c>
      <c r="O5" t="s">
        <v>0</v>
      </c>
      <c r="P5" t="s">
        <v>8</v>
      </c>
      <c r="Q5" t="s">
        <v>8</v>
      </c>
      <c r="R5" t="s">
        <v>6</v>
      </c>
    </row>
    <row r="6" spans="1:25" x14ac:dyDescent="0.25">
      <c r="A6">
        <v>5</v>
      </c>
      <c r="B6" t="s">
        <v>0</v>
      </c>
      <c r="C6" t="s">
        <v>8</v>
      </c>
      <c r="D6" t="s">
        <v>8</v>
      </c>
      <c r="E6" t="s">
        <v>6</v>
      </c>
      <c r="G6">
        <v>38</v>
      </c>
      <c r="H6" t="s">
        <v>2</v>
      </c>
      <c r="I6" t="s">
        <v>8</v>
      </c>
      <c r="J6" t="s">
        <v>8</v>
      </c>
      <c r="K6" t="s">
        <v>66</v>
      </c>
      <c r="L6" s="12" t="str">
        <f>Hand[[#This Row],[Type]]&amp;Hand[[#This Row],[Tapland?]]</f>
        <v>OtherNo</v>
      </c>
      <c r="N6">
        <v>5</v>
      </c>
      <c r="O6" t="s">
        <v>0</v>
      </c>
      <c r="P6" t="s">
        <v>8</v>
      </c>
      <c r="Q6" t="s">
        <v>8</v>
      </c>
      <c r="R6" t="s">
        <v>6</v>
      </c>
    </row>
    <row r="7" spans="1:25" x14ac:dyDescent="0.25">
      <c r="A7">
        <v>6</v>
      </c>
      <c r="B7" t="s">
        <v>0</v>
      </c>
      <c r="C7" t="s">
        <v>8</v>
      </c>
      <c r="D7" t="s">
        <v>8</v>
      </c>
      <c r="E7" t="s">
        <v>6</v>
      </c>
      <c r="G7">
        <v>42</v>
      </c>
      <c r="H7" t="s">
        <v>2</v>
      </c>
      <c r="I7" t="s">
        <v>8</v>
      </c>
      <c r="J7" t="s">
        <v>8</v>
      </c>
      <c r="K7" t="s">
        <v>66</v>
      </c>
      <c r="L7" s="12" t="str">
        <f>Hand[[#This Row],[Type]]&amp;Hand[[#This Row],[Tapland?]]</f>
        <v>OtherNo</v>
      </c>
      <c r="N7">
        <v>6</v>
      </c>
      <c r="O7" t="s">
        <v>0</v>
      </c>
      <c r="P7" t="s">
        <v>8</v>
      </c>
      <c r="Q7" t="s">
        <v>8</v>
      </c>
      <c r="R7" t="s">
        <v>6</v>
      </c>
    </row>
    <row r="8" spans="1:25" x14ac:dyDescent="0.25">
      <c r="A8">
        <v>7</v>
      </c>
      <c r="B8" t="s">
        <v>0</v>
      </c>
      <c r="C8" t="s">
        <v>8</v>
      </c>
      <c r="D8" t="s">
        <v>8</v>
      </c>
      <c r="E8" t="s">
        <v>6</v>
      </c>
      <c r="G8">
        <v>43</v>
      </c>
      <c r="H8" t="s">
        <v>2</v>
      </c>
      <c r="I8" t="s">
        <v>8</v>
      </c>
      <c r="J8" t="s">
        <v>8</v>
      </c>
      <c r="K8" t="s">
        <v>66</v>
      </c>
      <c r="L8" s="12" t="str">
        <f>Hand[[#This Row],[Type]]&amp;Hand[[#This Row],[Tapland?]]</f>
        <v>OtherNo</v>
      </c>
      <c r="N8">
        <v>7</v>
      </c>
      <c r="O8" t="s">
        <v>0</v>
      </c>
      <c r="P8" t="s">
        <v>8</v>
      </c>
      <c r="Q8" t="s">
        <v>8</v>
      </c>
      <c r="R8" t="s">
        <v>6</v>
      </c>
    </row>
    <row r="9" spans="1:25" x14ac:dyDescent="0.25">
      <c r="A9">
        <v>8</v>
      </c>
      <c r="B9" t="s">
        <v>0</v>
      </c>
      <c r="C9" t="s">
        <v>8</v>
      </c>
      <c r="D9" t="s">
        <v>8</v>
      </c>
      <c r="E9" t="s">
        <v>6</v>
      </c>
      <c r="N9">
        <v>8</v>
      </c>
      <c r="O9" t="s">
        <v>0</v>
      </c>
      <c r="P9" t="s">
        <v>8</v>
      </c>
      <c r="Q9" t="s">
        <v>8</v>
      </c>
      <c r="R9" t="s">
        <v>6</v>
      </c>
    </row>
    <row r="10" spans="1:25" x14ac:dyDescent="0.25">
      <c r="A10">
        <v>9</v>
      </c>
      <c r="B10" t="s">
        <v>0</v>
      </c>
      <c r="C10" t="s">
        <v>8</v>
      </c>
      <c r="D10" t="s">
        <v>8</v>
      </c>
      <c r="E10" t="s">
        <v>6</v>
      </c>
      <c r="N10">
        <v>9</v>
      </c>
      <c r="O10" t="s">
        <v>0</v>
      </c>
      <c r="P10" t="s">
        <v>8</v>
      </c>
      <c r="Q10" t="s">
        <v>8</v>
      </c>
      <c r="R10" t="s">
        <v>6</v>
      </c>
    </row>
    <row r="11" spans="1:25" x14ac:dyDescent="0.25">
      <c r="A11">
        <v>10</v>
      </c>
      <c r="B11" t="s">
        <v>0</v>
      </c>
      <c r="C11" t="s">
        <v>8</v>
      </c>
      <c r="D11" t="s">
        <v>8</v>
      </c>
      <c r="E11" t="s">
        <v>6</v>
      </c>
      <c r="N11">
        <v>10</v>
      </c>
      <c r="O11" t="s">
        <v>0</v>
      </c>
      <c r="P11" t="s">
        <v>8</v>
      </c>
      <c r="Q11" t="s">
        <v>8</v>
      </c>
      <c r="R11" t="s">
        <v>6</v>
      </c>
    </row>
    <row r="12" spans="1:25" x14ac:dyDescent="0.25">
      <c r="A12">
        <v>11</v>
      </c>
      <c r="B12" t="s">
        <v>0</v>
      </c>
      <c r="C12" t="s">
        <v>8</v>
      </c>
      <c r="D12" t="s">
        <v>9</v>
      </c>
      <c r="E12" t="s">
        <v>66</v>
      </c>
      <c r="N12">
        <v>11</v>
      </c>
      <c r="O12" t="s">
        <v>0</v>
      </c>
      <c r="P12" t="s">
        <v>8</v>
      </c>
      <c r="Q12" t="s">
        <v>9</v>
      </c>
      <c r="R12" t="s">
        <v>6</v>
      </c>
    </row>
    <row r="13" spans="1:25" x14ac:dyDescent="0.25">
      <c r="A13">
        <v>12</v>
      </c>
      <c r="B13" t="s">
        <v>0</v>
      </c>
      <c r="C13" t="s">
        <v>8</v>
      </c>
      <c r="D13" t="s">
        <v>9</v>
      </c>
      <c r="E13" t="s">
        <v>66</v>
      </c>
      <c r="N13">
        <v>12</v>
      </c>
      <c r="O13" t="s">
        <v>0</v>
      </c>
      <c r="P13" t="s">
        <v>8</v>
      </c>
      <c r="Q13" t="s">
        <v>9</v>
      </c>
      <c r="R13" t="s">
        <v>6</v>
      </c>
    </row>
    <row r="14" spans="1:25" x14ac:dyDescent="0.25">
      <c r="A14">
        <v>13</v>
      </c>
      <c r="B14" t="s">
        <v>0</v>
      </c>
      <c r="C14" t="s">
        <v>8</v>
      </c>
      <c r="D14" t="s">
        <v>9</v>
      </c>
      <c r="E14" t="s">
        <v>6</v>
      </c>
      <c r="N14">
        <v>13</v>
      </c>
      <c r="O14" t="s">
        <v>0</v>
      </c>
      <c r="P14" t="s">
        <v>8</v>
      </c>
      <c r="Q14" t="s">
        <v>9</v>
      </c>
      <c r="R14" t="s">
        <v>6</v>
      </c>
    </row>
    <row r="15" spans="1:25" x14ac:dyDescent="0.25">
      <c r="A15">
        <v>14</v>
      </c>
      <c r="B15" t="s">
        <v>0</v>
      </c>
      <c r="C15" t="s">
        <v>8</v>
      </c>
      <c r="D15" t="s">
        <v>9</v>
      </c>
      <c r="E15" t="s">
        <v>6</v>
      </c>
      <c r="N15">
        <v>14</v>
      </c>
      <c r="O15" t="s">
        <v>0</v>
      </c>
      <c r="P15" t="s">
        <v>8</v>
      </c>
      <c r="Q15" t="s">
        <v>9</v>
      </c>
      <c r="R15" t="s">
        <v>6</v>
      </c>
    </row>
    <row r="16" spans="1:25" x14ac:dyDescent="0.25">
      <c r="A16">
        <v>15</v>
      </c>
      <c r="B16" t="s">
        <v>0</v>
      </c>
      <c r="C16" t="s">
        <v>8</v>
      </c>
      <c r="D16" t="s">
        <v>9</v>
      </c>
      <c r="E16" t="s">
        <v>6</v>
      </c>
      <c r="N16">
        <v>15</v>
      </c>
      <c r="O16" t="s">
        <v>0</v>
      </c>
      <c r="P16" t="s">
        <v>8</v>
      </c>
      <c r="Q16" t="s">
        <v>9</v>
      </c>
      <c r="R16" t="s">
        <v>6</v>
      </c>
    </row>
    <row r="17" spans="1:18" x14ac:dyDescent="0.25">
      <c r="A17">
        <v>16</v>
      </c>
      <c r="B17" t="s">
        <v>0</v>
      </c>
      <c r="C17" t="s">
        <v>9</v>
      </c>
      <c r="D17" t="s">
        <v>8</v>
      </c>
      <c r="E17" t="s">
        <v>6</v>
      </c>
      <c r="N17">
        <v>16</v>
      </c>
      <c r="O17" t="s">
        <v>0</v>
      </c>
      <c r="P17" t="s">
        <v>9</v>
      </c>
      <c r="Q17" t="s">
        <v>8</v>
      </c>
      <c r="R17" t="s">
        <v>6</v>
      </c>
    </row>
    <row r="18" spans="1:18" x14ac:dyDescent="0.25">
      <c r="A18">
        <v>17</v>
      </c>
      <c r="B18" t="s">
        <v>0</v>
      </c>
      <c r="C18" t="s">
        <v>9</v>
      </c>
      <c r="D18" t="s">
        <v>8</v>
      </c>
      <c r="E18" t="s">
        <v>6</v>
      </c>
      <c r="N18">
        <v>17</v>
      </c>
      <c r="O18" t="s">
        <v>0</v>
      </c>
      <c r="P18" t="s">
        <v>9</v>
      </c>
      <c r="Q18" t="s">
        <v>8</v>
      </c>
      <c r="R18" t="s">
        <v>6</v>
      </c>
    </row>
    <row r="19" spans="1:18" x14ac:dyDescent="0.25">
      <c r="A19">
        <v>18</v>
      </c>
      <c r="B19" t="s">
        <v>0</v>
      </c>
      <c r="C19" t="s">
        <v>9</v>
      </c>
      <c r="D19" t="s">
        <v>8</v>
      </c>
      <c r="E19" t="s">
        <v>6</v>
      </c>
      <c r="N19">
        <v>18</v>
      </c>
      <c r="O19" t="s">
        <v>0</v>
      </c>
      <c r="P19" t="s">
        <v>9</v>
      </c>
      <c r="Q19" t="s">
        <v>8</v>
      </c>
      <c r="R19" t="s">
        <v>6</v>
      </c>
    </row>
    <row r="20" spans="1:18" x14ac:dyDescent="0.25">
      <c r="A20">
        <v>19</v>
      </c>
      <c r="B20" t="s">
        <v>0</v>
      </c>
      <c r="C20" t="s">
        <v>9</v>
      </c>
      <c r="D20" t="s">
        <v>8</v>
      </c>
      <c r="E20" t="s">
        <v>6</v>
      </c>
      <c r="N20">
        <v>19</v>
      </c>
      <c r="O20" t="s">
        <v>0</v>
      </c>
      <c r="P20" t="s">
        <v>9</v>
      </c>
      <c r="Q20" t="s">
        <v>8</v>
      </c>
      <c r="R20" t="s">
        <v>6</v>
      </c>
    </row>
    <row r="21" spans="1:18" x14ac:dyDescent="0.25">
      <c r="A21">
        <v>20</v>
      </c>
      <c r="B21" t="s">
        <v>1</v>
      </c>
      <c r="C21" t="s">
        <v>8</v>
      </c>
      <c r="D21" t="s">
        <v>8</v>
      </c>
      <c r="E21" t="s">
        <v>6</v>
      </c>
      <c r="N21">
        <v>20</v>
      </c>
      <c r="O21" t="s">
        <v>1</v>
      </c>
      <c r="P21" t="s">
        <v>8</v>
      </c>
      <c r="Q21" t="s">
        <v>8</v>
      </c>
      <c r="R21" t="s">
        <v>6</v>
      </c>
    </row>
    <row r="22" spans="1:18" x14ac:dyDescent="0.25">
      <c r="A22">
        <v>21</v>
      </c>
      <c r="B22" t="s">
        <v>1</v>
      </c>
      <c r="C22" t="s">
        <v>8</v>
      </c>
      <c r="D22" t="s">
        <v>8</v>
      </c>
      <c r="E22" t="s">
        <v>6</v>
      </c>
      <c r="N22">
        <v>21</v>
      </c>
      <c r="O22" t="s">
        <v>1</v>
      </c>
      <c r="P22" t="s">
        <v>8</v>
      </c>
      <c r="Q22" t="s">
        <v>8</v>
      </c>
      <c r="R22" t="s">
        <v>6</v>
      </c>
    </row>
    <row r="23" spans="1:18" x14ac:dyDescent="0.25">
      <c r="A23">
        <v>22</v>
      </c>
      <c r="B23" t="s">
        <v>1</v>
      </c>
      <c r="C23" t="s">
        <v>8</v>
      </c>
      <c r="D23" t="s">
        <v>8</v>
      </c>
      <c r="E23" t="s">
        <v>6</v>
      </c>
      <c r="N23">
        <v>22</v>
      </c>
      <c r="O23" t="s">
        <v>1</v>
      </c>
      <c r="P23" t="s">
        <v>8</v>
      </c>
      <c r="Q23" t="s">
        <v>8</v>
      </c>
      <c r="R23" t="s">
        <v>6</v>
      </c>
    </row>
    <row r="24" spans="1:18" x14ac:dyDescent="0.25">
      <c r="A24">
        <v>23</v>
      </c>
      <c r="B24" t="s">
        <v>1</v>
      </c>
      <c r="C24" t="s">
        <v>8</v>
      </c>
      <c r="D24" t="s">
        <v>8</v>
      </c>
      <c r="E24" t="s">
        <v>6</v>
      </c>
      <c r="N24">
        <v>23</v>
      </c>
      <c r="O24" t="s">
        <v>1</v>
      </c>
      <c r="P24" t="s">
        <v>8</v>
      </c>
      <c r="Q24" t="s">
        <v>8</v>
      </c>
      <c r="R24" t="s">
        <v>6</v>
      </c>
    </row>
    <row r="25" spans="1:18" x14ac:dyDescent="0.25">
      <c r="A25">
        <v>24</v>
      </c>
      <c r="B25" t="s">
        <v>50</v>
      </c>
      <c r="C25" t="s">
        <v>8</v>
      </c>
      <c r="D25" t="s">
        <v>8</v>
      </c>
      <c r="E25" t="s">
        <v>6</v>
      </c>
      <c r="N25">
        <v>24</v>
      </c>
      <c r="O25" t="s">
        <v>50</v>
      </c>
      <c r="P25" t="s">
        <v>8</v>
      </c>
      <c r="Q25" t="s">
        <v>8</v>
      </c>
      <c r="R25" t="s">
        <v>6</v>
      </c>
    </row>
    <row r="26" spans="1:18" x14ac:dyDescent="0.25">
      <c r="A26">
        <v>25</v>
      </c>
      <c r="B26" t="s">
        <v>50</v>
      </c>
      <c r="C26" t="s">
        <v>8</v>
      </c>
      <c r="D26" t="s">
        <v>8</v>
      </c>
      <c r="E26" t="s">
        <v>6</v>
      </c>
      <c r="N26">
        <v>25</v>
      </c>
      <c r="O26" t="s">
        <v>50</v>
      </c>
      <c r="P26" t="s">
        <v>8</v>
      </c>
      <c r="Q26" t="s">
        <v>8</v>
      </c>
      <c r="R26" t="s">
        <v>6</v>
      </c>
    </row>
    <row r="27" spans="1:18" x14ac:dyDescent="0.25">
      <c r="A27">
        <v>26</v>
      </c>
      <c r="B27" t="s">
        <v>50</v>
      </c>
      <c r="C27" t="s">
        <v>8</v>
      </c>
      <c r="D27" t="s">
        <v>8</v>
      </c>
      <c r="E27" t="s">
        <v>6</v>
      </c>
      <c r="N27">
        <v>26</v>
      </c>
      <c r="O27" t="s">
        <v>50</v>
      </c>
      <c r="P27" t="s">
        <v>8</v>
      </c>
      <c r="Q27" t="s">
        <v>8</v>
      </c>
      <c r="R27" t="s">
        <v>6</v>
      </c>
    </row>
    <row r="28" spans="1:18" x14ac:dyDescent="0.25">
      <c r="A28">
        <v>27</v>
      </c>
      <c r="B28" t="s">
        <v>50</v>
      </c>
      <c r="C28" t="s">
        <v>8</v>
      </c>
      <c r="D28" t="s">
        <v>8</v>
      </c>
      <c r="E28" t="s">
        <v>66</v>
      </c>
      <c r="N28">
        <v>27</v>
      </c>
      <c r="O28" t="s">
        <v>50</v>
      </c>
      <c r="P28" t="s">
        <v>8</v>
      </c>
      <c r="Q28" t="s">
        <v>8</v>
      </c>
      <c r="R28" t="s">
        <v>6</v>
      </c>
    </row>
    <row r="29" spans="1:18" x14ac:dyDescent="0.25">
      <c r="A29">
        <v>28</v>
      </c>
      <c r="B29" t="s">
        <v>50</v>
      </c>
      <c r="C29" t="s">
        <v>8</v>
      </c>
      <c r="D29" t="s">
        <v>8</v>
      </c>
      <c r="E29" t="s">
        <v>6</v>
      </c>
      <c r="N29">
        <v>28</v>
      </c>
      <c r="O29" t="s">
        <v>50</v>
      </c>
      <c r="P29" t="s">
        <v>8</v>
      </c>
      <c r="Q29" t="s">
        <v>8</v>
      </c>
      <c r="R29" t="s">
        <v>6</v>
      </c>
    </row>
    <row r="30" spans="1:18" x14ac:dyDescent="0.25">
      <c r="A30">
        <v>29</v>
      </c>
      <c r="B30" t="s">
        <v>50</v>
      </c>
      <c r="C30" t="s">
        <v>8</v>
      </c>
      <c r="D30" t="s">
        <v>8</v>
      </c>
      <c r="E30" t="s">
        <v>6</v>
      </c>
      <c r="N30">
        <v>29</v>
      </c>
      <c r="O30" t="s">
        <v>50</v>
      </c>
      <c r="P30" t="s">
        <v>8</v>
      </c>
      <c r="Q30" t="s">
        <v>8</v>
      </c>
      <c r="R30" t="s">
        <v>6</v>
      </c>
    </row>
    <row r="31" spans="1:18" x14ac:dyDescent="0.25">
      <c r="A31">
        <v>30</v>
      </c>
      <c r="B31" t="s">
        <v>2</v>
      </c>
      <c r="C31" t="s">
        <v>8</v>
      </c>
      <c r="D31" t="s">
        <v>8</v>
      </c>
      <c r="E31" t="s">
        <v>6</v>
      </c>
      <c r="N31">
        <v>30</v>
      </c>
      <c r="O31" t="s">
        <v>2</v>
      </c>
      <c r="P31" t="s">
        <v>8</v>
      </c>
      <c r="Q31" t="s">
        <v>8</v>
      </c>
      <c r="R31" t="s">
        <v>6</v>
      </c>
    </row>
    <row r="32" spans="1:18" x14ac:dyDescent="0.25">
      <c r="A32">
        <v>31</v>
      </c>
      <c r="B32" t="s">
        <v>2</v>
      </c>
      <c r="C32" t="s">
        <v>8</v>
      </c>
      <c r="D32" t="s">
        <v>8</v>
      </c>
      <c r="E32" t="s">
        <v>6</v>
      </c>
      <c r="N32">
        <v>31</v>
      </c>
      <c r="O32" t="s">
        <v>2</v>
      </c>
      <c r="P32" t="s">
        <v>8</v>
      </c>
      <c r="Q32" t="s">
        <v>8</v>
      </c>
      <c r="R32" t="s">
        <v>6</v>
      </c>
    </row>
    <row r="33" spans="1:18" x14ac:dyDescent="0.25">
      <c r="A33">
        <v>32</v>
      </c>
      <c r="B33" t="s">
        <v>2</v>
      </c>
      <c r="C33" t="s">
        <v>8</v>
      </c>
      <c r="D33" t="s">
        <v>8</v>
      </c>
      <c r="E33" t="s">
        <v>66</v>
      </c>
      <c r="N33">
        <v>32</v>
      </c>
      <c r="O33" t="s">
        <v>2</v>
      </c>
      <c r="P33" t="s">
        <v>8</v>
      </c>
      <c r="Q33" t="s">
        <v>8</v>
      </c>
      <c r="R33" t="s">
        <v>6</v>
      </c>
    </row>
    <row r="34" spans="1:18" x14ac:dyDescent="0.25">
      <c r="A34">
        <v>33</v>
      </c>
      <c r="B34" t="s">
        <v>2</v>
      </c>
      <c r="C34" t="s">
        <v>8</v>
      </c>
      <c r="D34" t="s">
        <v>8</v>
      </c>
      <c r="E34" t="s">
        <v>6</v>
      </c>
      <c r="N34">
        <v>33</v>
      </c>
      <c r="O34" t="s">
        <v>2</v>
      </c>
      <c r="P34" t="s">
        <v>8</v>
      </c>
      <c r="Q34" t="s">
        <v>8</v>
      </c>
      <c r="R34" t="s">
        <v>6</v>
      </c>
    </row>
    <row r="35" spans="1:18" x14ac:dyDescent="0.25">
      <c r="A35">
        <v>34</v>
      </c>
      <c r="B35" t="s">
        <v>2</v>
      </c>
      <c r="C35" t="s">
        <v>8</v>
      </c>
      <c r="D35" t="s">
        <v>8</v>
      </c>
      <c r="E35" t="s">
        <v>6</v>
      </c>
      <c r="N35">
        <v>34</v>
      </c>
      <c r="O35" t="s">
        <v>2</v>
      </c>
      <c r="P35" t="s">
        <v>8</v>
      </c>
      <c r="Q35" t="s">
        <v>8</v>
      </c>
      <c r="R35" t="s">
        <v>6</v>
      </c>
    </row>
    <row r="36" spans="1:18" x14ac:dyDescent="0.25">
      <c r="A36">
        <v>35</v>
      </c>
      <c r="B36" t="s">
        <v>2</v>
      </c>
      <c r="C36" t="s">
        <v>8</v>
      </c>
      <c r="D36" t="s">
        <v>8</v>
      </c>
      <c r="E36" t="s">
        <v>6</v>
      </c>
      <c r="N36">
        <v>35</v>
      </c>
      <c r="O36" t="s">
        <v>2</v>
      </c>
      <c r="P36" t="s">
        <v>8</v>
      </c>
      <c r="Q36" t="s">
        <v>8</v>
      </c>
      <c r="R36" t="s">
        <v>6</v>
      </c>
    </row>
    <row r="37" spans="1:18" x14ac:dyDescent="0.25">
      <c r="A37">
        <v>36</v>
      </c>
      <c r="B37" t="s">
        <v>2</v>
      </c>
      <c r="C37" t="s">
        <v>8</v>
      </c>
      <c r="D37" t="s">
        <v>8</v>
      </c>
      <c r="E37" t="s">
        <v>6</v>
      </c>
      <c r="N37">
        <v>36</v>
      </c>
      <c r="O37" t="s">
        <v>2</v>
      </c>
      <c r="P37" t="s">
        <v>8</v>
      </c>
      <c r="Q37" t="s">
        <v>8</v>
      </c>
      <c r="R37" t="s">
        <v>6</v>
      </c>
    </row>
    <row r="38" spans="1:18" x14ac:dyDescent="0.25">
      <c r="A38">
        <v>37</v>
      </c>
      <c r="B38" t="s">
        <v>2</v>
      </c>
      <c r="C38" t="s">
        <v>8</v>
      </c>
      <c r="D38" t="s">
        <v>8</v>
      </c>
      <c r="E38" t="s">
        <v>6</v>
      </c>
      <c r="N38">
        <v>37</v>
      </c>
      <c r="O38" t="s">
        <v>2</v>
      </c>
      <c r="P38" t="s">
        <v>8</v>
      </c>
      <c r="Q38" t="s">
        <v>8</v>
      </c>
      <c r="R38" t="s">
        <v>6</v>
      </c>
    </row>
    <row r="39" spans="1:18" x14ac:dyDescent="0.25">
      <c r="A39">
        <v>38</v>
      </c>
      <c r="B39" t="s">
        <v>2</v>
      </c>
      <c r="C39" t="s">
        <v>8</v>
      </c>
      <c r="D39" t="s">
        <v>8</v>
      </c>
      <c r="E39" t="s">
        <v>66</v>
      </c>
      <c r="N39">
        <v>38</v>
      </c>
      <c r="O39" t="s">
        <v>2</v>
      </c>
      <c r="P39" t="s">
        <v>8</v>
      </c>
      <c r="Q39" t="s">
        <v>8</v>
      </c>
      <c r="R39" t="s">
        <v>6</v>
      </c>
    </row>
    <row r="40" spans="1:18" x14ac:dyDescent="0.25">
      <c r="A40">
        <v>39</v>
      </c>
      <c r="B40" t="s">
        <v>2</v>
      </c>
      <c r="C40" t="s">
        <v>8</v>
      </c>
      <c r="D40" t="s">
        <v>8</v>
      </c>
      <c r="E40" t="s">
        <v>6</v>
      </c>
      <c r="N40">
        <v>39</v>
      </c>
      <c r="O40" t="s">
        <v>2</v>
      </c>
      <c r="P40" t="s">
        <v>8</v>
      </c>
      <c r="Q40" t="s">
        <v>8</v>
      </c>
      <c r="R40" t="s">
        <v>6</v>
      </c>
    </row>
    <row r="41" spans="1:18" x14ac:dyDescent="0.25">
      <c r="A41">
        <v>40</v>
      </c>
      <c r="B41" t="s">
        <v>2</v>
      </c>
      <c r="C41" t="s">
        <v>8</v>
      </c>
      <c r="D41" t="s">
        <v>8</v>
      </c>
      <c r="E41" t="s">
        <v>6</v>
      </c>
      <c r="N41">
        <v>40</v>
      </c>
      <c r="O41" t="s">
        <v>2</v>
      </c>
      <c r="P41" t="s">
        <v>8</v>
      </c>
      <c r="Q41" t="s">
        <v>8</v>
      </c>
      <c r="R41" t="s">
        <v>6</v>
      </c>
    </row>
    <row r="42" spans="1:18" x14ac:dyDescent="0.25">
      <c r="A42">
        <v>41</v>
      </c>
      <c r="B42" t="s">
        <v>2</v>
      </c>
      <c r="C42" t="s">
        <v>8</v>
      </c>
      <c r="D42" t="s">
        <v>8</v>
      </c>
      <c r="E42" t="s">
        <v>6</v>
      </c>
      <c r="N42">
        <v>41</v>
      </c>
      <c r="O42" t="s">
        <v>2</v>
      </c>
      <c r="P42" t="s">
        <v>8</v>
      </c>
      <c r="Q42" t="s">
        <v>8</v>
      </c>
      <c r="R42" t="s">
        <v>6</v>
      </c>
    </row>
    <row r="43" spans="1:18" x14ac:dyDescent="0.25">
      <c r="A43">
        <v>42</v>
      </c>
      <c r="B43" t="s">
        <v>2</v>
      </c>
      <c r="C43" t="s">
        <v>8</v>
      </c>
      <c r="D43" t="s">
        <v>8</v>
      </c>
      <c r="E43" t="s">
        <v>66</v>
      </c>
      <c r="N43">
        <v>42</v>
      </c>
      <c r="O43" t="s">
        <v>2</v>
      </c>
      <c r="P43" t="s">
        <v>8</v>
      </c>
      <c r="Q43" t="s">
        <v>8</v>
      </c>
      <c r="R43" t="s">
        <v>6</v>
      </c>
    </row>
    <row r="44" spans="1:18" x14ac:dyDescent="0.25">
      <c r="A44">
        <v>43</v>
      </c>
      <c r="B44" t="s">
        <v>2</v>
      </c>
      <c r="C44" t="s">
        <v>8</v>
      </c>
      <c r="D44" t="s">
        <v>8</v>
      </c>
      <c r="E44" t="s">
        <v>66</v>
      </c>
      <c r="N44">
        <v>43</v>
      </c>
      <c r="O44" t="s">
        <v>2</v>
      </c>
      <c r="P44" t="s">
        <v>8</v>
      </c>
      <c r="Q44" t="s">
        <v>8</v>
      </c>
      <c r="R44" t="s">
        <v>6</v>
      </c>
    </row>
    <row r="45" spans="1:18" x14ac:dyDescent="0.25">
      <c r="A45">
        <v>44</v>
      </c>
      <c r="B45" t="s">
        <v>2</v>
      </c>
      <c r="C45" t="s">
        <v>8</v>
      </c>
      <c r="D45" t="s">
        <v>8</v>
      </c>
      <c r="E45" t="s">
        <v>6</v>
      </c>
      <c r="N45">
        <v>44</v>
      </c>
      <c r="O45" t="s">
        <v>2</v>
      </c>
      <c r="P45" t="s">
        <v>8</v>
      </c>
      <c r="Q45" t="s">
        <v>8</v>
      </c>
      <c r="R45" t="s">
        <v>6</v>
      </c>
    </row>
    <row r="46" spans="1:18" x14ac:dyDescent="0.25">
      <c r="A46">
        <v>45</v>
      </c>
      <c r="B46" t="s">
        <v>2</v>
      </c>
      <c r="C46" t="s">
        <v>8</v>
      </c>
      <c r="D46" t="s">
        <v>8</v>
      </c>
      <c r="E46" t="s">
        <v>6</v>
      </c>
      <c r="N46">
        <v>45</v>
      </c>
      <c r="O46" t="s">
        <v>2</v>
      </c>
      <c r="P46" t="s">
        <v>8</v>
      </c>
      <c r="Q46" t="s">
        <v>8</v>
      </c>
      <c r="R46" t="s">
        <v>6</v>
      </c>
    </row>
    <row r="47" spans="1:18" x14ac:dyDescent="0.25">
      <c r="A47">
        <v>46</v>
      </c>
      <c r="B47" t="s">
        <v>2</v>
      </c>
      <c r="C47" t="s">
        <v>8</v>
      </c>
      <c r="D47" t="s">
        <v>8</v>
      </c>
      <c r="E47" t="s">
        <v>6</v>
      </c>
      <c r="N47">
        <v>46</v>
      </c>
      <c r="O47" t="s">
        <v>2</v>
      </c>
      <c r="P47" t="s">
        <v>8</v>
      </c>
      <c r="Q47" t="s">
        <v>8</v>
      </c>
      <c r="R47" t="s">
        <v>6</v>
      </c>
    </row>
    <row r="48" spans="1:18" x14ac:dyDescent="0.25">
      <c r="A48">
        <v>47</v>
      </c>
      <c r="B48" t="s">
        <v>2</v>
      </c>
      <c r="C48" t="s">
        <v>8</v>
      </c>
      <c r="D48" t="s">
        <v>8</v>
      </c>
      <c r="E48" t="s">
        <v>6</v>
      </c>
      <c r="N48">
        <v>47</v>
      </c>
      <c r="O48" t="s">
        <v>2</v>
      </c>
      <c r="P48" t="s">
        <v>8</v>
      </c>
      <c r="Q48" t="s">
        <v>8</v>
      </c>
      <c r="R48" t="s">
        <v>6</v>
      </c>
    </row>
    <row r="49" spans="1:18" x14ac:dyDescent="0.25">
      <c r="A49">
        <v>48</v>
      </c>
      <c r="B49" t="s">
        <v>2</v>
      </c>
      <c r="C49" t="s">
        <v>8</v>
      </c>
      <c r="D49" t="s">
        <v>8</v>
      </c>
      <c r="E49" t="s">
        <v>6</v>
      </c>
      <c r="N49">
        <v>48</v>
      </c>
      <c r="O49" t="s">
        <v>2</v>
      </c>
      <c r="P49" t="s">
        <v>8</v>
      </c>
      <c r="Q49" t="s">
        <v>8</v>
      </c>
      <c r="R49" t="s">
        <v>6</v>
      </c>
    </row>
    <row r="50" spans="1:18" x14ac:dyDescent="0.25">
      <c r="A50">
        <v>49</v>
      </c>
      <c r="B50" t="s">
        <v>2</v>
      </c>
      <c r="C50" t="s">
        <v>8</v>
      </c>
      <c r="D50" t="s">
        <v>8</v>
      </c>
      <c r="E50" t="s">
        <v>6</v>
      </c>
      <c r="N50">
        <v>49</v>
      </c>
      <c r="O50" t="s">
        <v>2</v>
      </c>
      <c r="P50" t="s">
        <v>8</v>
      </c>
      <c r="Q50" t="s">
        <v>8</v>
      </c>
      <c r="R50" t="s">
        <v>6</v>
      </c>
    </row>
    <row r="51" spans="1:18" x14ac:dyDescent="0.25">
      <c r="A51">
        <v>50</v>
      </c>
      <c r="B51" t="s">
        <v>2</v>
      </c>
      <c r="C51" t="s">
        <v>8</v>
      </c>
      <c r="D51" t="s">
        <v>8</v>
      </c>
      <c r="E51" t="s">
        <v>6</v>
      </c>
      <c r="N51">
        <v>50</v>
      </c>
      <c r="O51" t="s">
        <v>2</v>
      </c>
      <c r="P51" t="s">
        <v>8</v>
      </c>
      <c r="Q51" t="s">
        <v>8</v>
      </c>
      <c r="R51" t="s">
        <v>6</v>
      </c>
    </row>
    <row r="52" spans="1:18" x14ac:dyDescent="0.25">
      <c r="A52">
        <v>51</v>
      </c>
      <c r="B52" t="s">
        <v>2</v>
      </c>
      <c r="C52" t="s">
        <v>8</v>
      </c>
      <c r="D52" t="s">
        <v>8</v>
      </c>
      <c r="E52" t="s">
        <v>6</v>
      </c>
      <c r="N52">
        <v>51</v>
      </c>
      <c r="O52" t="s">
        <v>2</v>
      </c>
      <c r="P52" t="s">
        <v>8</v>
      </c>
      <c r="Q52" t="s">
        <v>8</v>
      </c>
      <c r="R52" t="s">
        <v>6</v>
      </c>
    </row>
    <row r="53" spans="1:18" x14ac:dyDescent="0.25">
      <c r="A53">
        <v>52</v>
      </c>
      <c r="B53" t="s">
        <v>2</v>
      </c>
      <c r="C53" t="s">
        <v>8</v>
      </c>
      <c r="D53" t="s">
        <v>8</v>
      </c>
      <c r="E53" t="s">
        <v>6</v>
      </c>
      <c r="N53">
        <v>52</v>
      </c>
      <c r="O53" t="s">
        <v>2</v>
      </c>
      <c r="P53" t="s">
        <v>8</v>
      </c>
      <c r="Q53" t="s">
        <v>8</v>
      </c>
      <c r="R53" t="s">
        <v>6</v>
      </c>
    </row>
    <row r="54" spans="1:18" x14ac:dyDescent="0.25">
      <c r="A54">
        <v>53</v>
      </c>
      <c r="B54" t="s">
        <v>2</v>
      </c>
      <c r="C54" t="s">
        <v>8</v>
      </c>
      <c r="D54" t="s">
        <v>8</v>
      </c>
      <c r="E54" t="s">
        <v>6</v>
      </c>
      <c r="N54">
        <v>53</v>
      </c>
      <c r="O54" t="s">
        <v>2</v>
      </c>
      <c r="P54" t="s">
        <v>8</v>
      </c>
      <c r="Q54" t="s">
        <v>8</v>
      </c>
      <c r="R54" t="s">
        <v>6</v>
      </c>
    </row>
    <row r="55" spans="1:18" x14ac:dyDescent="0.25">
      <c r="A55">
        <v>54</v>
      </c>
      <c r="B55" t="s">
        <v>2</v>
      </c>
      <c r="C55" t="s">
        <v>8</v>
      </c>
      <c r="D55" t="s">
        <v>8</v>
      </c>
      <c r="E55" t="s">
        <v>6</v>
      </c>
      <c r="N55">
        <v>54</v>
      </c>
      <c r="O55" t="s">
        <v>2</v>
      </c>
      <c r="P55" t="s">
        <v>8</v>
      </c>
      <c r="Q55" t="s">
        <v>8</v>
      </c>
      <c r="R55" t="s">
        <v>6</v>
      </c>
    </row>
    <row r="56" spans="1:18" x14ac:dyDescent="0.25">
      <c r="A56">
        <v>55</v>
      </c>
      <c r="B56" t="s">
        <v>2</v>
      </c>
      <c r="C56" t="s">
        <v>8</v>
      </c>
      <c r="D56" t="s">
        <v>8</v>
      </c>
      <c r="E56" t="s">
        <v>6</v>
      </c>
      <c r="N56">
        <v>55</v>
      </c>
      <c r="O56" t="s">
        <v>2</v>
      </c>
      <c r="P56" t="s">
        <v>8</v>
      </c>
      <c r="Q56" t="s">
        <v>8</v>
      </c>
      <c r="R56" t="s">
        <v>6</v>
      </c>
    </row>
    <row r="57" spans="1:18" x14ac:dyDescent="0.25">
      <c r="A57">
        <v>56</v>
      </c>
      <c r="B57" t="s">
        <v>2</v>
      </c>
      <c r="C57" t="s">
        <v>8</v>
      </c>
      <c r="D57" t="s">
        <v>8</v>
      </c>
      <c r="E57" t="s">
        <v>6</v>
      </c>
      <c r="N57">
        <v>56</v>
      </c>
      <c r="O57" t="s">
        <v>2</v>
      </c>
      <c r="P57" t="s">
        <v>8</v>
      </c>
      <c r="Q57" t="s">
        <v>8</v>
      </c>
      <c r="R57" t="s">
        <v>6</v>
      </c>
    </row>
    <row r="58" spans="1:18" x14ac:dyDescent="0.25">
      <c r="A58">
        <v>57</v>
      </c>
      <c r="B58" t="s">
        <v>2</v>
      </c>
      <c r="C58" t="s">
        <v>8</v>
      </c>
      <c r="D58" t="s">
        <v>8</v>
      </c>
      <c r="E58" t="s">
        <v>6</v>
      </c>
      <c r="N58">
        <v>57</v>
      </c>
      <c r="O58" t="s">
        <v>2</v>
      </c>
      <c r="P58" t="s">
        <v>8</v>
      </c>
      <c r="Q58" t="s">
        <v>8</v>
      </c>
      <c r="R58" t="s">
        <v>6</v>
      </c>
    </row>
    <row r="59" spans="1:18" x14ac:dyDescent="0.25">
      <c r="A59">
        <v>58</v>
      </c>
      <c r="B59" t="s">
        <v>2</v>
      </c>
      <c r="C59" t="s">
        <v>8</v>
      </c>
      <c r="D59" t="s">
        <v>8</v>
      </c>
      <c r="E59" t="s">
        <v>6</v>
      </c>
      <c r="N59">
        <v>58</v>
      </c>
      <c r="O59" t="s">
        <v>2</v>
      </c>
      <c r="P59" t="s">
        <v>8</v>
      </c>
      <c r="Q59" t="s">
        <v>8</v>
      </c>
      <c r="R59" t="s">
        <v>6</v>
      </c>
    </row>
    <row r="60" spans="1:18" x14ac:dyDescent="0.25">
      <c r="A60">
        <v>59</v>
      </c>
      <c r="B60" t="s">
        <v>2</v>
      </c>
      <c r="C60" t="s">
        <v>8</v>
      </c>
      <c r="D60" t="s">
        <v>8</v>
      </c>
      <c r="E60" t="s">
        <v>6</v>
      </c>
      <c r="N60">
        <v>59</v>
      </c>
      <c r="O60" t="s">
        <v>2</v>
      </c>
      <c r="P60" t="s">
        <v>8</v>
      </c>
      <c r="Q60" t="s">
        <v>8</v>
      </c>
      <c r="R60" t="s">
        <v>6</v>
      </c>
    </row>
    <row r="61" spans="1:18" x14ac:dyDescent="0.25">
      <c r="A61">
        <v>60</v>
      </c>
      <c r="B61" t="s">
        <v>2</v>
      </c>
      <c r="C61" t="s">
        <v>8</v>
      </c>
      <c r="D61" t="s">
        <v>8</v>
      </c>
      <c r="E61" t="s">
        <v>6</v>
      </c>
      <c r="N61">
        <v>60</v>
      </c>
      <c r="O61" t="s">
        <v>2</v>
      </c>
      <c r="P61" t="s">
        <v>8</v>
      </c>
      <c r="Q61" t="s">
        <v>8</v>
      </c>
      <c r="R61" t="s">
        <v>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50ABB-6C52-4369-BD09-7C40122490DC}">
  <sheetPr codeName="shMetrics"/>
  <dimension ref="A1:L42"/>
  <sheetViews>
    <sheetView showGridLines="0" topLeftCell="A4" workbookViewId="0">
      <selection activeCell="D29" sqref="D29"/>
    </sheetView>
  </sheetViews>
  <sheetFormatPr defaultRowHeight="15" x14ac:dyDescent="0.25"/>
  <cols>
    <col min="1" max="1" width="3.7109375" style="1" customWidth="1"/>
    <col min="3" max="3" width="35.140625" bestFit="1" customWidth="1"/>
    <col min="4" max="4" width="9.140625" customWidth="1"/>
    <col min="6" max="6" width="16.28515625" customWidth="1"/>
    <col min="12" max="12" width="23.7109375" customWidth="1"/>
  </cols>
  <sheetData>
    <row r="1" spans="3:12" s="1" customFormat="1" ht="36" customHeight="1" x14ac:dyDescent="0.25"/>
    <row r="3" spans="3:12" ht="15.75" thickBot="1" x14ac:dyDescent="0.3"/>
    <row r="4" spans="3:12" x14ac:dyDescent="0.25">
      <c r="C4" s="2" t="s">
        <v>12</v>
      </c>
      <c r="D4" s="3">
        <f>COUNT(Master[Number])</f>
        <v>60</v>
      </c>
      <c r="F4" t="s">
        <v>72</v>
      </c>
      <c r="L4" t="s">
        <v>73</v>
      </c>
    </row>
    <row r="5" spans="3:12" x14ac:dyDescent="0.25">
      <c r="C5" s="4" t="s">
        <v>11</v>
      </c>
      <c r="D5" s="5">
        <f>COUNT(Hand[Number])</f>
        <v>7</v>
      </c>
      <c r="F5" t="s">
        <v>74</v>
      </c>
      <c r="L5" t="s">
        <v>74</v>
      </c>
    </row>
    <row r="6" spans="3:12" x14ac:dyDescent="0.25">
      <c r="C6" s="4" t="s">
        <v>13</v>
      </c>
      <c r="D6" s="5">
        <f>COUNT(Deck[Number])</f>
        <v>60</v>
      </c>
      <c r="F6" t="s">
        <v>1</v>
      </c>
      <c r="L6" t="s">
        <v>75</v>
      </c>
    </row>
    <row r="7" spans="3:12" x14ac:dyDescent="0.25">
      <c r="C7" s="4" t="s">
        <v>22</v>
      </c>
      <c r="D7" s="5">
        <f>COUNTIFS(Field[Type],"Blue")</f>
        <v>1</v>
      </c>
      <c r="F7" t="s">
        <v>75</v>
      </c>
      <c r="L7" t="s">
        <v>1</v>
      </c>
    </row>
    <row r="8" spans="3:12" x14ac:dyDescent="0.25">
      <c r="C8" s="4" t="s">
        <v>14</v>
      </c>
      <c r="D8" s="5">
        <v>1</v>
      </c>
      <c r="F8" t="s">
        <v>76</v>
      </c>
      <c r="L8" t="s">
        <v>76</v>
      </c>
    </row>
    <row r="9" spans="3:12" x14ac:dyDescent="0.25">
      <c r="C9" s="4" t="s">
        <v>15</v>
      </c>
      <c r="D9" s="5">
        <f>COUNTIFS(Hand[Type],"Blue")+Opt_Factor*COUNTIFS(Hand[Type],"Opt")</f>
        <v>2</v>
      </c>
      <c r="F9" t="s">
        <v>1</v>
      </c>
    </row>
    <row r="10" spans="3:12" x14ac:dyDescent="0.25">
      <c r="C10" s="4" t="s">
        <v>16</v>
      </c>
      <c r="D10" s="5">
        <f>COUNTIFS(Deck[Type],"Blue")/Cards_left_in_deck+COUNTIFS(Deck[Type],"Blue")/16*0.2</f>
        <v>0.5541666666666667</v>
      </c>
    </row>
    <row r="11" spans="3:12" x14ac:dyDescent="0.25">
      <c r="C11" s="8" t="s">
        <v>34</v>
      </c>
      <c r="D11" s="5" t="b">
        <f>Untapped_Blue_on_field&gt;0</f>
        <v>1</v>
      </c>
    </row>
    <row r="12" spans="3:12" x14ac:dyDescent="0.25">
      <c r="C12" s="4" t="s">
        <v>25</v>
      </c>
      <c r="D12" s="5">
        <f>COUNTIFS(Field[Type],"Blue",Field[Status],"Untapped")</f>
        <v>1</v>
      </c>
    </row>
    <row r="13" spans="3:12" x14ac:dyDescent="0.25">
      <c r="C13" s="4" t="s">
        <v>17</v>
      </c>
      <c r="D13" s="5">
        <v>1.5</v>
      </c>
    </row>
    <row r="14" spans="3:12" x14ac:dyDescent="0.25">
      <c r="C14" s="4" t="s">
        <v>18</v>
      </c>
      <c r="D14" s="5" t="b">
        <f>AND(Number_of_blue___non_blue_lands_in_hand&gt;=2,Number_of_blue___non_blue_lands_in_hand&lt;6,Number_of_Lands_in_hand&gt;=1)</f>
        <v>1</v>
      </c>
    </row>
    <row r="15" spans="3:12" x14ac:dyDescent="0.25">
      <c r="C15" s="4" t="s">
        <v>33</v>
      </c>
      <c r="D15" s="5" t="b">
        <f>ISNUMBER(MATCH("BlueNo",Hand[Key ID],0))</f>
        <v>1</v>
      </c>
    </row>
    <row r="16" spans="3:12" x14ac:dyDescent="0.25">
      <c r="C16" s="4" t="s">
        <v>19</v>
      </c>
      <c r="D16" s="5">
        <f>COUNTIFS(Hand[Type],"Blue",Hand[Tapland?],"No")</f>
        <v>2</v>
      </c>
    </row>
    <row r="17" spans="3:4" x14ac:dyDescent="0.25">
      <c r="C17" s="4" t="s">
        <v>31</v>
      </c>
      <c r="D17" s="5" t="b">
        <f>ISNUMBER(MATCH("BlueYes",Hand[Key ID],0))</f>
        <v>0</v>
      </c>
    </row>
    <row r="18" spans="3:4" x14ac:dyDescent="0.25">
      <c r="C18" s="4" t="s">
        <v>20</v>
      </c>
      <c r="D18" s="5">
        <f>COUNTIFS(Hand[Type],"Blue",Hand[Tapland?],"Yes")</f>
        <v>0</v>
      </c>
    </row>
    <row r="19" spans="3:4" x14ac:dyDescent="0.25">
      <c r="C19" s="4" t="s">
        <v>21</v>
      </c>
      <c r="D19" s="5">
        <f>MAX(0,3-Turn)</f>
        <v>2</v>
      </c>
    </row>
    <row r="20" spans="3:4" x14ac:dyDescent="0.25">
      <c r="C20" s="4" t="s">
        <v>23</v>
      </c>
      <c r="D20" s="5" t="b">
        <f>NOT(Turn=D7)</f>
        <v>0</v>
      </c>
    </row>
    <row r="21" spans="3:4" x14ac:dyDescent="0.25">
      <c r="C21" s="4" t="s">
        <v>24</v>
      </c>
      <c r="D21" s="5" t="b">
        <f>MIN(Max_Tapped_Land_left,Tapped_Blue_in_hand)+Lands_on_the_field+Untapped_Blue_in_hand&gt;=3</f>
        <v>1</v>
      </c>
    </row>
    <row r="22" spans="3:4" x14ac:dyDescent="0.25">
      <c r="C22" s="4" t="s">
        <v>26</v>
      </c>
      <c r="D22" s="5" t="b">
        <f>ISNUMBER(MATCH("Untapped",Field[Status],0))</f>
        <v>1</v>
      </c>
    </row>
    <row r="23" spans="3:4" x14ac:dyDescent="0.25">
      <c r="C23" s="4" t="s">
        <v>27</v>
      </c>
      <c r="D23" s="5">
        <f>IF(Untapped_Land?,MATCH("Untapped",Field[Status],0),0)</f>
        <v>1</v>
      </c>
    </row>
    <row r="24" spans="3:4" x14ac:dyDescent="0.25">
      <c r="C24" s="4" t="s">
        <v>29</v>
      </c>
      <c r="D24" s="5">
        <f>IF(Has_Untapped_Blue,INDEX(Hand[Number],MATCH("BlueNo",Hand[Key ID],0)))</f>
        <v>11</v>
      </c>
    </row>
    <row r="25" spans="3:4" x14ac:dyDescent="0.25">
      <c r="C25" s="4" t="s">
        <v>30</v>
      </c>
      <c r="D25" s="5" t="b">
        <f>IF(Has_Tapped_Blue,INDEX(Hand[Number],MATCH("BlueYes",Hand[Key ID],0)))</f>
        <v>0</v>
      </c>
    </row>
    <row r="26" spans="3:4" x14ac:dyDescent="0.25">
      <c r="C26" s="8" t="s">
        <v>32</v>
      </c>
      <c r="D26" s="5" t="b">
        <f>ISNUMBER(MATCH("Opt",Hand[Type],0))</f>
        <v>0</v>
      </c>
    </row>
    <row r="27" spans="3:4" x14ac:dyDescent="0.25">
      <c r="C27" s="8" t="s">
        <v>35</v>
      </c>
      <c r="D27" s="5" t="e">
        <f>INDEX(Hand[Number],MATCH("Opt",Hand[Type],0))</f>
        <v>#N/A</v>
      </c>
    </row>
    <row r="28" spans="3:4" x14ac:dyDescent="0.25">
      <c r="C28" s="8" t="s">
        <v>47</v>
      </c>
      <c r="D28" s="5">
        <f>COUNTIFS(Hand[Type],"Opt")</f>
        <v>0</v>
      </c>
    </row>
    <row r="29" spans="3:4" x14ac:dyDescent="0.25">
      <c r="C29" s="8" t="s">
        <v>51</v>
      </c>
      <c r="D29" s="5">
        <f>COUNTIFS(Hand[Type],"Blue")</f>
        <v>2</v>
      </c>
    </row>
    <row r="30" spans="3:4" x14ac:dyDescent="0.25">
      <c r="C30" s="8" t="s">
        <v>52</v>
      </c>
      <c r="D30" s="5">
        <f>COUNTIFS(Hand[Type],"Blue")+COUNTIFS(Hand[Type],"Non-Blue Land")</f>
        <v>3</v>
      </c>
    </row>
    <row r="31" spans="3:4" x14ac:dyDescent="0.25">
      <c r="C31" s="8" t="s">
        <v>58</v>
      </c>
      <c r="D31" s="5" t="b">
        <f>ISNUMBER(MATCH("Top",Master[Location],0))</f>
        <v>0</v>
      </c>
    </row>
    <row r="32" spans="3:4" x14ac:dyDescent="0.25">
      <c r="C32" s="8" t="s">
        <v>59</v>
      </c>
      <c r="D32" s="5" t="e">
        <f>INDEX(Master[Number],MATCH("Top",Master[Location],0))</f>
        <v>#N/A</v>
      </c>
    </row>
    <row r="33" spans="3:4" x14ac:dyDescent="0.25">
      <c r="C33" s="8" t="s">
        <v>61</v>
      </c>
      <c r="D33" s="5" t="b">
        <f>ISNUMBER(MATCH("Yes",Hand[Fetchland?],0))</f>
        <v>1</v>
      </c>
    </row>
    <row r="34" spans="3:4" x14ac:dyDescent="0.25">
      <c r="C34" s="8" t="s">
        <v>62</v>
      </c>
      <c r="D34" s="5">
        <f>MATCH("Yes",Hand[Fetchland?],0)</f>
        <v>1</v>
      </c>
    </row>
    <row r="35" spans="3:4" x14ac:dyDescent="0.25">
      <c r="C35" s="8" t="s">
        <v>63</v>
      </c>
      <c r="D35" s="5" t="b">
        <f>ISNUMBER(MATCH("Yes",Field[Fetchland?],0))</f>
        <v>0</v>
      </c>
    </row>
    <row r="36" spans="3:4" x14ac:dyDescent="0.25">
      <c r="C36" s="8" t="s">
        <v>64</v>
      </c>
      <c r="D36" s="5" t="e">
        <f>INDEX(Field[Number],MATCH("Yes",Field[Fetchland?],0))</f>
        <v>#N/A</v>
      </c>
    </row>
    <row r="37" spans="3:4" x14ac:dyDescent="0.25">
      <c r="C37" s="8" t="s">
        <v>65</v>
      </c>
      <c r="D37" s="5">
        <f>INDEX(Deck[Number],MATCH("No",Deck[Fetchland?],0))</f>
        <v>1</v>
      </c>
    </row>
    <row r="38" spans="3:4" x14ac:dyDescent="0.25">
      <c r="C38" s="8" t="s">
        <v>69</v>
      </c>
      <c r="D38" s="5">
        <f>COUNTIFS(Hand[Type],"Serum")</f>
        <v>0</v>
      </c>
    </row>
    <row r="39" spans="3:4" x14ac:dyDescent="0.25">
      <c r="C39" s="8" t="s">
        <v>70</v>
      </c>
      <c r="D39" s="5" t="b">
        <f>ISNUMBER(MATCH("Serum",Hand[Type],0))</f>
        <v>0</v>
      </c>
    </row>
    <row r="40" spans="3:4" x14ac:dyDescent="0.25">
      <c r="C40" s="8" t="s">
        <v>71</v>
      </c>
      <c r="D40" s="5" t="e">
        <f>INDEX(Hand[Number],MATCH("Serum",Hand[Type],0))</f>
        <v>#N/A</v>
      </c>
    </row>
    <row r="41" spans="3:4" x14ac:dyDescent="0.25">
      <c r="C41" s="8" t="s">
        <v>77</v>
      </c>
      <c r="D41" s="5" t="b">
        <f>COUNTIFS(Field[Status],"Untapped")=COUNTIFS(Field[Fetchland?],"Yes")</f>
        <v>0</v>
      </c>
    </row>
    <row r="42" spans="3:4" ht="15.75" thickBot="1" x14ac:dyDescent="0.3">
      <c r="C42" s="7" t="s">
        <v>78</v>
      </c>
      <c r="D42" s="6">
        <f>INDEX(Hand[Number],Cards_in_hand)</f>
        <v>43</v>
      </c>
    </row>
  </sheetData>
  <dataValidations count="1">
    <dataValidation type="list" allowBlank="1" showInputMessage="1" showErrorMessage="1" sqref="F5:F9" xr:uid="{46C336E4-FBEA-4747-8E49-5037E573FA81}">
      <formula1>INDIRECT("TableSequenceOptions[Turn Sequence Options]")</formula1>
    </dataValidation>
  </dataValidations>
  <pageMargins left="0.7" right="0.7" top="0.75" bottom="0.75" header="0.3" footer="0.3"/>
  <cellWatches>
    <cellWatch r="D21"/>
  </cellWatches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E1B87-85E2-4C59-A735-9E1E89726EB9}">
  <sheetPr codeName="shResults"/>
  <dimension ref="A1:L17"/>
  <sheetViews>
    <sheetView showGridLines="0" tabSelected="1" workbookViewId="0">
      <selection activeCell="I4" sqref="I4"/>
    </sheetView>
  </sheetViews>
  <sheetFormatPr defaultRowHeight="15" x14ac:dyDescent="0.25"/>
  <cols>
    <col min="1" max="1" width="5.42578125" style="1" customWidth="1"/>
    <col min="4" max="4" width="16.140625" customWidth="1"/>
    <col min="5" max="5" width="19.85546875" bestFit="1" customWidth="1"/>
    <col min="6" max="6" width="19.42578125" customWidth="1"/>
    <col min="7" max="7" width="22.7109375" bestFit="1" customWidth="1"/>
    <col min="8" max="8" width="20.7109375" bestFit="1" customWidth="1"/>
    <col min="9" max="9" width="29" bestFit="1" customWidth="1"/>
  </cols>
  <sheetData>
    <row r="1" spans="4:12" s="1" customFormat="1" ht="43.5" customHeight="1" x14ac:dyDescent="0.25"/>
    <row r="6" spans="4:12" ht="15.75" thickBot="1" x14ac:dyDescent="0.3"/>
    <row r="7" spans="4:12" x14ac:dyDescent="0.25">
      <c r="D7" t="s">
        <v>36</v>
      </c>
      <c r="E7" t="s">
        <v>37</v>
      </c>
      <c r="F7" t="s">
        <v>24</v>
      </c>
      <c r="G7" t="s">
        <v>48</v>
      </c>
      <c r="H7" t="s">
        <v>49</v>
      </c>
      <c r="I7" t="s">
        <v>53</v>
      </c>
      <c r="K7" s="2" t="s">
        <v>38</v>
      </c>
      <c r="L7" s="3">
        <f>COUNTIFS(Results[Victory?],TRUE)</f>
        <v>8</v>
      </c>
    </row>
    <row r="8" spans="4:12" x14ac:dyDescent="0.25">
      <c r="D8" t="b">
        <v>0</v>
      </c>
      <c r="E8">
        <v>7</v>
      </c>
      <c r="F8" t="b">
        <v>1</v>
      </c>
      <c r="G8">
        <v>2</v>
      </c>
      <c r="H8">
        <v>1</v>
      </c>
      <c r="I8">
        <v>2</v>
      </c>
      <c r="K8" s="4" t="s">
        <v>39</v>
      </c>
      <c r="L8" s="5">
        <f>COUNTIFS(Results[Victory?],FALSE)</f>
        <v>2</v>
      </c>
    </row>
    <row r="9" spans="4:12" ht="15.75" thickBot="1" x14ac:dyDescent="0.3">
      <c r="D9" t="b">
        <v>0</v>
      </c>
      <c r="E9">
        <v>6</v>
      </c>
      <c r="F9" t="b">
        <v>0</v>
      </c>
      <c r="G9">
        <v>2</v>
      </c>
      <c r="H9">
        <v>0</v>
      </c>
      <c r="I9">
        <v>1</v>
      </c>
      <c r="K9" s="15" t="s">
        <v>40</v>
      </c>
      <c r="L9" s="16">
        <f>L7/(L7+L8)</f>
        <v>0.8</v>
      </c>
    </row>
    <row r="10" spans="4:12" x14ac:dyDescent="0.25">
      <c r="D10" t="b">
        <v>1</v>
      </c>
      <c r="E10">
        <v>6</v>
      </c>
      <c r="F10" t="b">
        <v>1</v>
      </c>
      <c r="G10">
        <v>4</v>
      </c>
      <c r="H10">
        <v>0</v>
      </c>
      <c r="I10">
        <v>3</v>
      </c>
      <c r="K10" s="17" t="s">
        <v>79</v>
      </c>
      <c r="L10">
        <f>SUM(L7:L8)</f>
        <v>10</v>
      </c>
    </row>
    <row r="11" spans="4:12" x14ac:dyDescent="0.25">
      <c r="D11" t="b">
        <v>1</v>
      </c>
      <c r="E11">
        <v>7</v>
      </c>
      <c r="F11" t="b">
        <v>1</v>
      </c>
      <c r="G11">
        <v>4</v>
      </c>
      <c r="H11">
        <v>0</v>
      </c>
      <c r="I11">
        <v>3</v>
      </c>
      <c r="K11" t="s">
        <v>80</v>
      </c>
      <c r="L11">
        <f>COUNTIFS(Results[Opening hand size],7)</f>
        <v>7</v>
      </c>
    </row>
    <row r="12" spans="4:12" x14ac:dyDescent="0.25">
      <c r="D12" t="b">
        <v>0</v>
      </c>
      <c r="E12">
        <v>7</v>
      </c>
      <c r="F12" t="b">
        <v>1</v>
      </c>
      <c r="G12">
        <v>2</v>
      </c>
      <c r="H12">
        <v>1</v>
      </c>
      <c r="I12">
        <v>2</v>
      </c>
      <c r="K12" t="s">
        <v>81</v>
      </c>
      <c r="L12" s="9">
        <f>(L10-L11)/L10</f>
        <v>0.3</v>
      </c>
    </row>
    <row r="13" spans="4:12" x14ac:dyDescent="0.25">
      <c r="D13" t="b">
        <v>1</v>
      </c>
      <c r="E13">
        <v>7</v>
      </c>
      <c r="F13" t="b">
        <v>0</v>
      </c>
      <c r="G13">
        <v>2</v>
      </c>
      <c r="H13">
        <v>0</v>
      </c>
      <c r="I13">
        <v>1</v>
      </c>
    </row>
    <row r="14" spans="4:12" x14ac:dyDescent="0.25">
      <c r="D14" t="b">
        <v>1</v>
      </c>
      <c r="E14">
        <v>7</v>
      </c>
      <c r="F14" t="b">
        <v>1</v>
      </c>
      <c r="G14">
        <v>4</v>
      </c>
      <c r="H14">
        <v>0</v>
      </c>
      <c r="I14">
        <v>3</v>
      </c>
    </row>
    <row r="15" spans="4:12" x14ac:dyDescent="0.25">
      <c r="D15" t="b">
        <v>0</v>
      </c>
      <c r="E15">
        <v>7</v>
      </c>
      <c r="F15" t="b">
        <v>1</v>
      </c>
      <c r="G15">
        <v>3</v>
      </c>
      <c r="H15">
        <v>1</v>
      </c>
      <c r="I15">
        <v>1</v>
      </c>
    </row>
    <row r="16" spans="4:12" x14ac:dyDescent="0.25">
      <c r="D16" t="b">
        <v>1</v>
      </c>
      <c r="E16">
        <v>5</v>
      </c>
      <c r="F16" t="b">
        <v>1</v>
      </c>
      <c r="G16">
        <v>3</v>
      </c>
      <c r="H16">
        <v>1</v>
      </c>
      <c r="I16">
        <v>2</v>
      </c>
    </row>
    <row r="17" spans="4:9" x14ac:dyDescent="0.25">
      <c r="D17" t="b">
        <v>0</v>
      </c>
      <c r="E17">
        <v>7</v>
      </c>
      <c r="F17" t="b">
        <v>1</v>
      </c>
      <c r="G17">
        <v>3</v>
      </c>
      <c r="H17">
        <v>0</v>
      </c>
      <c r="I17">
        <v>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10319-DE4C-4B08-8669-E416B17831EE}">
  <sheetPr codeName="Sheet3"/>
  <dimension ref="A3:AP11"/>
  <sheetViews>
    <sheetView showGridLines="0" workbookViewId="0">
      <selection activeCell="G11" sqref="G11"/>
    </sheetView>
  </sheetViews>
  <sheetFormatPr defaultRowHeight="15" x14ac:dyDescent="0.25"/>
  <cols>
    <col min="1" max="1" width="16.42578125" bestFit="1" customWidth="1"/>
    <col min="2" max="2" width="16.28515625" bestFit="1" customWidth="1"/>
    <col min="3" max="3" width="2" bestFit="1" customWidth="1"/>
    <col min="4" max="4" width="6.85546875" bestFit="1" customWidth="1"/>
    <col min="5" max="5" width="3.85546875" bestFit="1" customWidth="1"/>
    <col min="6" max="7" width="2" bestFit="1" customWidth="1"/>
    <col min="8" max="8" width="6.85546875" bestFit="1" customWidth="1"/>
    <col min="9" max="9" width="3.85546875" bestFit="1" customWidth="1"/>
    <col min="10" max="10" width="2" bestFit="1" customWidth="1"/>
    <col min="11" max="11" width="6.85546875" bestFit="1" customWidth="1"/>
    <col min="12" max="12" width="3.85546875" bestFit="1" customWidth="1"/>
    <col min="13" max="13" width="6.85546875" bestFit="1" customWidth="1"/>
    <col min="14" max="14" width="11.28515625" bestFit="1" customWidth="1"/>
    <col min="15" max="15" width="2" bestFit="1" customWidth="1"/>
    <col min="16" max="16" width="6.85546875" bestFit="1" customWidth="1"/>
    <col min="17" max="17" width="4" bestFit="1" customWidth="1"/>
    <col min="18" max="18" width="3" bestFit="1" customWidth="1"/>
    <col min="19" max="20" width="2" bestFit="1" customWidth="1"/>
    <col min="21" max="21" width="6.85546875" bestFit="1" customWidth="1"/>
    <col min="22" max="22" width="3.85546875" bestFit="1" customWidth="1"/>
    <col min="23" max="23" width="3" bestFit="1" customWidth="1"/>
    <col min="24" max="24" width="6.85546875" bestFit="1" customWidth="1"/>
    <col min="25" max="25" width="3.85546875" bestFit="1" customWidth="1"/>
    <col min="26" max="26" width="2" bestFit="1" customWidth="1"/>
    <col min="27" max="27" width="6.85546875" bestFit="1" customWidth="1"/>
    <col min="28" max="28" width="11.28515625" bestFit="1" customWidth="1"/>
    <col min="29" max="37" width="4" customWidth="1"/>
    <col min="38" max="38" width="3.85546875" bestFit="1" customWidth="1"/>
    <col min="39" max="39" width="16.42578125" bestFit="1" customWidth="1"/>
    <col min="40" max="40" width="16.28515625" bestFit="1" customWidth="1"/>
    <col min="41" max="41" width="5.5703125" bestFit="1" customWidth="1"/>
    <col min="42" max="42" width="11.28515625" bestFit="1" customWidth="1"/>
  </cols>
  <sheetData>
    <row r="3" spans="1:42" x14ac:dyDescent="0.25">
      <c r="A3" s="10" t="s">
        <v>45</v>
      </c>
      <c r="B3" s="10" t="s">
        <v>46</v>
      </c>
    </row>
    <row r="4" spans="1:42" x14ac:dyDescent="0.25">
      <c r="B4">
        <v>1</v>
      </c>
      <c r="D4" t="s">
        <v>54</v>
      </c>
      <c r="E4">
        <v>2</v>
      </c>
      <c r="H4" t="s">
        <v>55</v>
      </c>
      <c r="I4">
        <v>3</v>
      </c>
      <c r="K4" t="s">
        <v>56</v>
      </c>
      <c r="L4">
        <v>4</v>
      </c>
      <c r="M4" t="s">
        <v>57</v>
      </c>
      <c r="N4" t="s">
        <v>44</v>
      </c>
    </row>
    <row r="5" spans="1:42" x14ac:dyDescent="0.25">
      <c r="A5" s="10" t="s">
        <v>41</v>
      </c>
      <c r="B5">
        <v>0</v>
      </c>
      <c r="C5">
        <v>1</v>
      </c>
      <c r="E5">
        <v>0</v>
      </c>
      <c r="F5">
        <v>1</v>
      </c>
      <c r="G5">
        <v>2</v>
      </c>
      <c r="I5">
        <v>0</v>
      </c>
      <c r="J5">
        <v>1</v>
      </c>
      <c r="L5">
        <v>0</v>
      </c>
      <c r="AM5" s="10" t="s">
        <v>45</v>
      </c>
      <c r="AN5" s="10" t="s">
        <v>46</v>
      </c>
    </row>
    <row r="6" spans="1:42" x14ac:dyDescent="0.25">
      <c r="A6" s="11" t="s">
        <v>42</v>
      </c>
      <c r="B6" s="12">
        <v>3</v>
      </c>
      <c r="C6" s="12">
        <v>2</v>
      </c>
      <c r="D6" s="12">
        <v>5</v>
      </c>
      <c r="E6" s="12">
        <v>9</v>
      </c>
      <c r="F6" s="12">
        <v>2</v>
      </c>
      <c r="G6" s="12"/>
      <c r="H6" s="12">
        <v>11</v>
      </c>
      <c r="I6" s="12"/>
      <c r="J6" s="12"/>
      <c r="K6" s="12"/>
      <c r="L6" s="12"/>
      <c r="M6" s="12"/>
      <c r="N6" s="12">
        <v>16</v>
      </c>
      <c r="AM6" s="10" t="s">
        <v>41</v>
      </c>
      <c r="AN6" t="s">
        <v>42</v>
      </c>
      <c r="AO6" t="s">
        <v>43</v>
      </c>
      <c r="AP6" t="s">
        <v>44</v>
      </c>
    </row>
    <row r="7" spans="1:42" x14ac:dyDescent="0.25">
      <c r="A7" s="11" t="s">
        <v>43</v>
      </c>
      <c r="B7" s="12">
        <v>1</v>
      </c>
      <c r="C7" s="12">
        <v>1</v>
      </c>
      <c r="D7" s="12">
        <v>2</v>
      </c>
      <c r="E7" s="12">
        <v>7</v>
      </c>
      <c r="F7" s="12">
        <v>2</v>
      </c>
      <c r="G7" s="12">
        <v>2</v>
      </c>
      <c r="H7" s="12">
        <v>11</v>
      </c>
      <c r="I7" s="12">
        <v>10</v>
      </c>
      <c r="J7" s="12">
        <v>1</v>
      </c>
      <c r="K7" s="12">
        <v>11</v>
      </c>
      <c r="L7" s="12">
        <v>4</v>
      </c>
      <c r="M7" s="12">
        <v>4</v>
      </c>
      <c r="N7" s="12">
        <v>28</v>
      </c>
      <c r="AM7" s="11" t="s">
        <v>42</v>
      </c>
      <c r="AN7" s="12">
        <v>5</v>
      </c>
      <c r="AO7" s="12">
        <v>11</v>
      </c>
      <c r="AP7" s="12">
        <v>16</v>
      </c>
    </row>
    <row r="8" spans="1:42" x14ac:dyDescent="0.25">
      <c r="A8" s="11" t="s">
        <v>44</v>
      </c>
      <c r="B8" s="12">
        <v>4</v>
      </c>
      <c r="C8" s="12">
        <v>3</v>
      </c>
      <c r="D8" s="12">
        <v>7</v>
      </c>
      <c r="E8" s="12">
        <v>16</v>
      </c>
      <c r="F8" s="12">
        <v>4</v>
      </c>
      <c r="G8" s="12">
        <v>2</v>
      </c>
      <c r="H8" s="12">
        <v>22</v>
      </c>
      <c r="I8" s="12">
        <v>10</v>
      </c>
      <c r="J8" s="12">
        <v>1</v>
      </c>
      <c r="K8" s="12">
        <v>11</v>
      </c>
      <c r="L8" s="12">
        <v>4</v>
      </c>
      <c r="M8" s="12">
        <v>4</v>
      </c>
      <c r="N8" s="12">
        <v>44</v>
      </c>
      <c r="AM8" s="11" t="s">
        <v>43</v>
      </c>
      <c r="AN8" s="12">
        <v>12</v>
      </c>
      <c r="AO8" s="12">
        <v>16</v>
      </c>
      <c r="AP8" s="12">
        <v>28</v>
      </c>
    </row>
    <row r="9" spans="1:42" x14ac:dyDescent="0.25">
      <c r="B9" s="13">
        <f>B7/B8</f>
        <v>0.25</v>
      </c>
      <c r="C9" s="13">
        <f t="shared" ref="C9:AB9" si="0">C7/C8</f>
        <v>0.33333333333333331</v>
      </c>
      <c r="D9" s="13">
        <f t="shared" si="0"/>
        <v>0.2857142857142857</v>
      </c>
      <c r="E9" s="13">
        <f t="shared" si="0"/>
        <v>0.4375</v>
      </c>
      <c r="F9" s="13">
        <f t="shared" si="0"/>
        <v>0.5</v>
      </c>
      <c r="G9" s="13">
        <f t="shared" si="0"/>
        <v>1</v>
      </c>
      <c r="H9" s="13">
        <f t="shared" si="0"/>
        <v>0.5</v>
      </c>
      <c r="I9" s="13">
        <f t="shared" si="0"/>
        <v>1</v>
      </c>
      <c r="J9" s="13">
        <f t="shared" si="0"/>
        <v>1</v>
      </c>
      <c r="K9" s="13">
        <f t="shared" si="0"/>
        <v>1</v>
      </c>
      <c r="L9" s="13">
        <f t="shared" si="0"/>
        <v>1</v>
      </c>
      <c r="M9" s="13">
        <f t="shared" si="0"/>
        <v>1</v>
      </c>
      <c r="N9" s="13">
        <f t="shared" si="0"/>
        <v>0.63636363636363635</v>
      </c>
      <c r="O9" s="13" t="e">
        <f t="shared" si="0"/>
        <v>#DIV/0!</v>
      </c>
      <c r="P9" s="13" t="e">
        <f t="shared" si="0"/>
        <v>#DIV/0!</v>
      </c>
      <c r="Q9" s="13" t="e">
        <f t="shared" si="0"/>
        <v>#DIV/0!</v>
      </c>
      <c r="R9" s="13" t="e">
        <f t="shared" si="0"/>
        <v>#DIV/0!</v>
      </c>
      <c r="S9" s="13" t="e">
        <f t="shared" si="0"/>
        <v>#DIV/0!</v>
      </c>
      <c r="T9" s="13" t="e">
        <f t="shared" si="0"/>
        <v>#DIV/0!</v>
      </c>
      <c r="U9" s="13" t="e">
        <f t="shared" si="0"/>
        <v>#DIV/0!</v>
      </c>
      <c r="V9" s="13" t="e">
        <f t="shared" si="0"/>
        <v>#DIV/0!</v>
      </c>
      <c r="W9" s="13" t="e">
        <f t="shared" si="0"/>
        <v>#DIV/0!</v>
      </c>
      <c r="X9" s="13" t="e">
        <f t="shared" si="0"/>
        <v>#DIV/0!</v>
      </c>
      <c r="Y9" s="13" t="e">
        <f t="shared" si="0"/>
        <v>#DIV/0!</v>
      </c>
      <c r="Z9" s="13" t="e">
        <f t="shared" si="0"/>
        <v>#DIV/0!</v>
      </c>
      <c r="AA9" s="13" t="e">
        <f t="shared" si="0"/>
        <v>#DIV/0!</v>
      </c>
      <c r="AB9" s="13" t="e">
        <f t="shared" si="0"/>
        <v>#DIV/0!</v>
      </c>
      <c r="AM9" s="11" t="s">
        <v>44</v>
      </c>
      <c r="AN9" s="12">
        <v>17</v>
      </c>
      <c r="AO9" s="12">
        <v>27</v>
      </c>
      <c r="AP9" s="12">
        <v>44</v>
      </c>
    </row>
    <row r="10" spans="1:42" x14ac:dyDescent="0.25">
      <c r="Z10" s="14" t="e">
        <f>GETPIVOTDATA("Victory?",$A$3,"Opening Hand Starting Blues",0)/GETPIVOTDATA("Victory?",$A$3)</f>
        <v>#REF!</v>
      </c>
      <c r="AN10" s="13">
        <f>GETPIVOTDATA("Victory?",$AM$5,"Play or draw?",FALSE,"Victory?",TRUE)/GETPIVOTDATA("Victory?",$AM$5,"Play or draw?",FALSE)</f>
        <v>0.70588235294117652</v>
      </c>
      <c r="AO10" s="13">
        <f>GETPIVOTDATA("Victory?",$AM$5,"Play or draw?",TRUE,"Victory?",TRUE)/GETPIVOTDATA("Victory?",$AM$5,"Play or draw?",TRUE)</f>
        <v>0.59259259259259256</v>
      </c>
    </row>
    <row r="11" spans="1:42" x14ac:dyDescent="0.25">
      <c r="E11" s="9"/>
      <c r="G11" s="9">
        <f>SUM(G7:J7,L7:O7,Q7:T7,V7:W7)/SUM(G8:J8,L8:O8,Q8:T8,V8:W8)</f>
        <v>0.68965517241379315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F8248C-0E4E-45D2-A914-F8CDD0AFC6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Cards and locations</vt:lpstr>
      <vt:lpstr>Metrics</vt:lpstr>
      <vt:lpstr>Results</vt:lpstr>
      <vt:lpstr>Analysis</vt:lpstr>
      <vt:lpstr>Blue___Opt_in_hand</vt:lpstr>
      <vt:lpstr>Blue_Sources_needed_in_opening_hand</vt:lpstr>
      <vt:lpstr>Can_play_a_land_this_turn?</vt:lpstr>
      <vt:lpstr>Card_on_top_of_deck?</vt:lpstr>
      <vt:lpstr>Card_on_top_of_deck_position</vt:lpstr>
      <vt:lpstr>Cards_in_hand</vt:lpstr>
      <vt:lpstr>Cards_left_in_deck</vt:lpstr>
      <vt:lpstr>Cards_originally_in_deck</vt:lpstr>
      <vt:lpstr>Do_I_need_to_fetch?</vt:lpstr>
      <vt:lpstr>Fetch_in_Hand?</vt:lpstr>
      <vt:lpstr>Fetch_in_hand_location</vt:lpstr>
      <vt:lpstr>Fetch_on_field?</vt:lpstr>
      <vt:lpstr>Fetch_on_field_location</vt:lpstr>
      <vt:lpstr>First_fetchable_land_location_in_deck</vt:lpstr>
      <vt:lpstr>First_Opt_in_hand</vt:lpstr>
      <vt:lpstr>First_serum_in_hand</vt:lpstr>
      <vt:lpstr>First_Tapped_land_in_hand</vt:lpstr>
      <vt:lpstr>First_Untapped_Land_in_the_hand</vt:lpstr>
      <vt:lpstr>First_Untapped_Land_on_the_field</vt:lpstr>
      <vt:lpstr>Has_Opt?</vt:lpstr>
      <vt:lpstr>Has_Tapped_Blue</vt:lpstr>
      <vt:lpstr>Has_Untapped_Blue</vt:lpstr>
      <vt:lpstr>Has_Untapped_Blue_on_the_field?</vt:lpstr>
      <vt:lpstr>Keepable_Opening_Hand?</vt:lpstr>
      <vt:lpstr>Lands_on_the_field</vt:lpstr>
      <vt:lpstr>Last_card_in_Hand</vt:lpstr>
      <vt:lpstr>Max_Tapped_Land_left</vt:lpstr>
      <vt:lpstr>Number_of_blue___non_blue_lands_in_hand</vt:lpstr>
      <vt:lpstr>Number_of_Lands_in_hand</vt:lpstr>
      <vt:lpstr>Number_of_Opts_in_hand</vt:lpstr>
      <vt:lpstr>Number_of_Serum_in_hand</vt:lpstr>
      <vt:lpstr>Opt_Factor</vt:lpstr>
      <vt:lpstr>Serum_in_hand?</vt:lpstr>
      <vt:lpstr>Tapped_Blue_in_hand</vt:lpstr>
      <vt:lpstr>Turn</vt:lpstr>
      <vt:lpstr>Untapped_Blue_in_hand</vt:lpstr>
      <vt:lpstr>Untapped_Blue_on_field</vt:lpstr>
      <vt:lpstr>Untapped_Land?</vt:lpstr>
      <vt:lpstr>Victory?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Jansen, Olivier</dc:creator>
  <cp:lastModifiedBy>Jansen, Olivier</cp:lastModifiedBy>
  <dcterms:created xsi:type="dcterms:W3CDTF">2019-06-10T16:03:18Z</dcterms:created>
  <dcterms:modified xsi:type="dcterms:W3CDTF">2019-06-13T20:38:41Z</dcterms:modified>
</cp:coreProperties>
</file>